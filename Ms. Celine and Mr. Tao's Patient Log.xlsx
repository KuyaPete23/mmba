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5d484bfb004d66/Documents/NU - MMBA/STAT/"/>
    </mc:Choice>
  </mc:AlternateContent>
  <xr:revisionPtr revIDLastSave="91" documentId="8_{7C76B180-2800-4B45-AD04-8ADA8A956A06}" xr6:coauthVersionLast="47" xr6:coauthVersionMax="47" xr10:uidLastSave="{AB817E62-1975-4759-ABA5-2D3195BDA21C}"/>
  <bookViews>
    <workbookView xWindow="-98" yWindow="-98" windowWidth="13875" windowHeight="20355" activeTab="1" xr2:uid="{0542E155-7656-4707-91AB-32A248609589}"/>
  </bookViews>
  <sheets>
    <sheet name="The Case " sheetId="5" r:id="rId1"/>
    <sheet name="Data" sheetId="1" r:id="rId2"/>
    <sheet name="Celine" sheetId="2" r:id="rId3"/>
    <sheet name="Tao" sheetId="3" r:id="rId4"/>
    <sheet name="Sheet3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30" i="1"/>
  <c r="G49" i="1" s="1"/>
  <c r="H30" i="1"/>
  <c r="H49" i="1" s="1"/>
  <c r="I30" i="1"/>
  <c r="I49" i="1" s="1"/>
  <c r="G22" i="4"/>
  <c r="G20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" i="4"/>
  <c r="I21" i="3"/>
  <c r="H21" i="3"/>
  <c r="G21" i="3"/>
  <c r="G3" i="3"/>
  <c r="H3" i="3"/>
  <c r="I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G12" i="3"/>
  <c r="H12" i="3"/>
  <c r="I12" i="3"/>
  <c r="G13" i="3"/>
  <c r="H13" i="3"/>
  <c r="I13" i="3"/>
  <c r="G14" i="3"/>
  <c r="H14" i="3"/>
  <c r="I14" i="3"/>
  <c r="G15" i="3"/>
  <c r="H15" i="3"/>
  <c r="I15" i="3"/>
  <c r="G16" i="3"/>
  <c r="H16" i="3"/>
  <c r="I16" i="3"/>
  <c r="G17" i="3"/>
  <c r="H17" i="3"/>
  <c r="I17" i="3"/>
  <c r="G18" i="3"/>
  <c r="H18" i="3"/>
  <c r="I18" i="3"/>
  <c r="G19" i="3"/>
  <c r="H19" i="3"/>
  <c r="I19" i="3"/>
  <c r="G20" i="3"/>
  <c r="H20" i="3"/>
  <c r="I20" i="3"/>
  <c r="I2" i="3"/>
  <c r="H2" i="3"/>
  <c r="G2" i="3"/>
  <c r="G2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" i="2"/>
  <c r="I23" i="1"/>
  <c r="I22" i="1"/>
  <c r="I21" i="1"/>
  <c r="I20" i="1"/>
  <c r="I19" i="1"/>
  <c r="I18" i="1"/>
  <c r="I17" i="1"/>
  <c r="I16" i="1"/>
  <c r="I15" i="1"/>
  <c r="I14" i="1"/>
  <c r="I13" i="1"/>
  <c r="I24" i="1" s="1"/>
  <c r="I12" i="1"/>
  <c r="I11" i="1"/>
  <c r="I10" i="1"/>
  <c r="I9" i="1"/>
  <c r="I8" i="1"/>
  <c r="I7" i="1"/>
  <c r="I6" i="1"/>
  <c r="I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</calcChain>
</file>

<file path=xl/sharedStrings.xml><?xml version="1.0" encoding="utf-8"?>
<sst xmlns="http://schemas.openxmlformats.org/spreadsheetml/2006/main" count="103" uniqueCount="80">
  <si>
    <t>Table 1: Patients Arrival Service and Departure Times by Ms. Celine</t>
  </si>
  <si>
    <t>Patient #</t>
  </si>
  <si>
    <t>Arrival Time</t>
  </si>
  <si>
    <t>Start Check-in</t>
  </si>
  <si>
    <t>Check-in Ends</t>
  </si>
  <si>
    <t>See Doctor</t>
  </si>
  <si>
    <t>Departure time</t>
  </si>
  <si>
    <t>Avg. time with nurse: 5:34 Avg. time with doctor: 20:13 Avg. waiting time (for nurse and doctor): 28: 12</t>
  </si>
  <si>
    <t>Table 2: Patients Arrival Service and Departure Times by Mr. Tao</t>
  </si>
  <si>
    <t>Avg. time with nurse: 8:21 Avg. time with doctor: 20:30 Avg. waiting time (for nurse and doctor): 27:02</t>
  </si>
  <si>
    <t>Triage Duration - Mins</t>
  </si>
  <si>
    <t>Consultation Duration</t>
  </si>
  <si>
    <t>Patient ID</t>
  </si>
  <si>
    <t>Arrival</t>
  </si>
  <si>
    <t>Check in Start</t>
  </si>
  <si>
    <t>Check in Ends</t>
  </si>
  <si>
    <t>Departure Time</t>
  </si>
  <si>
    <t>Waiting Time Before Consultation</t>
  </si>
  <si>
    <t>Time w/ Nurse</t>
  </si>
  <si>
    <t>Average--&gt;</t>
  </si>
  <si>
    <t>Time w/ Doctor</t>
  </si>
  <si>
    <t>Waiting Time to Doctor</t>
  </si>
  <si>
    <t>It was 2 o'clock in the afternoon. Dr. Zhivago felt exhausted. Her stomach was growling loudly. She just</t>
  </si>
  <si>
    <t>apologised to another unhappy patient who had lamented about the long waiting time. "I had the</t>
  </si>
  <si>
    <t>appointment at 1 o'clock, and I have been waiting here since after lunch. I have to cancel my afternoon</t>
  </si>
  <si>
    <t>meeting due to this," Dr. Zhivago heard Mrs. Kim complaining. Laying back in the chair, she wondered why</t>
  </si>
  <si>
    <t>she was wasting so much time dealing with patients' complaints about the long waiting time. Why could her</t>
  </si>
  <si>
    <t>time not be better spent on diagnosis and treatment?</t>
  </si>
  <si>
    <t>Dr. Zhivago glanced at the waiting room. Three more patients were waiting, but she really needed a short</t>
  </si>
  <si>
    <t>break. Standing in front of the coffee machine, she saw her regular patient, Mr. Chen, limping into the clinic.</t>
  </si>
  <si>
    <t>Ms. Celine, the newly hired nurse-receptionist, quickly found Mr. Chen a place to rest and then skilfully</t>
  </si>
  <si>
    <t>pulled out his record from a pile of documents on the shelf. Dr. Zhivago felt a bit relieved as she knew she</t>
  </si>
  <si>
    <t>had found a good replacement for Mr. Tao who had just retired.</t>
  </si>
  <si>
    <t>The nurse's job involved helping to fill up a form to describe the patient's current condition, pulling out the</t>
  </si>
  <si>
    <t>patient's medical record from the shelf, and putting these records in sequence so that when Dr. Zhivago</t>
  </si>
  <si>
    <t>finished seeing a patient, she could pick up the next patient's record and call the patient in.</t>
  </si>
  <si>
    <t>Ms. Celine was a fresh graduate from college and this was her first job. As with many new employees, she</t>
  </si>
  <si>
    <t>had been performing her tasks with passion and diligence. She always pulled out the medical records for</t>
  </si>
  <si>
    <t>scheduled patients the evening before their visits. Moreover, her desk was always in perfect order. She</t>
  </si>
  <si>
    <t>promptly served incoming patients upon their arrival. Her compassion for people also made her a good fit</t>
  </si>
  <si>
    <t>for the job. "She's the most efficient nurse I've ever seen," Dr. Zhivago thought.</t>
  </si>
  <si>
    <t>Before Ms. Celine, Mr. Tao never seemed to be in a rush. "Haste will lead to failure," he once told Dr.</t>
  </si>
  <si>
    <t>Zhivago. He only retrieved the medical records when patients arrived and chatted with them while they</t>
  </si>
  <si>
    <t>were filling out the registration forms. Sometimes, Dr. Zhivago would wish he could be a bit faster as she</t>
  </si>
  <si>
    <t>was afraid the patients might lose patience with him. It did not, however, really matter as the time she took</t>
  </si>
  <si>
    <t>to check patients was longer than the time it took Mr. Tao to register them. Moreover, she did not receive</t>
  </si>
  <si>
    <t>any complaints about Mr. Tao's inefficiency. Thus, she did not bother to bring up the issue.</t>
  </si>
  <si>
    <t>Overall, Dr. Zhivago was happy with her achievements at the clinic. Since she opened it 10 years ago, she</t>
  </si>
  <si>
    <t>had built a good reputation as a nice, effective, and proficient doctor. This helped her grow her patient</t>
  </si>
  <si>
    <t>population significantly. This growth, however, halted a few years ago when she decided not to accept any</t>
  </si>
  <si>
    <t>new patients due to time constraints. Recently, she noticed that although she still saw about 20 patients</t>
  </si>
  <si>
    <t>per day, there were more and more complaints about long waiting times.</t>
  </si>
  <si>
    <t>Most of the time, patients would make appointments before their visits. Each appointment was scheduled</t>
  </si>
  <si>
    <t>for 20 minutes. While the majority of patients arrived before or on time, there were still cases of late arrivals.</t>
  </si>
  <si>
    <t>Latecomers, however, could not be blamed as traffic in the area was pretty unpredictable. This was</t>
  </si>
  <si>
    <t>compounded by frequent subway delays.</t>
  </si>
  <si>
    <t>As Ms. Celine had been so efficient, Dr. Zhivago could only attribute the fault to herself and tried her best</t>
  </si>
  <si>
    <t>to be faster. Yesterday, Ms. Celine showed her a table with the arrival and service times of each patient for</t>
  </si>
  <si>
    <t>that day. (See Table 1 and in the accompanied Excel file for more details.) Most patients seemed to</t>
  </si>
  <si>
    <t>complete their visit to the clinic in less than an hour, as was always the case. Mr. Tao, who recently retired,</t>
  </si>
  <si>
    <t>had prepared similar data (summarised in Table 2). This data showed a similar duration per visit.</t>
  </si>
  <si>
    <t>Compared with other doctors, 1 hour was the industry standard. Dr. Zhivago asked Dr. Fan, her friend from</t>
  </si>
  <si>
    <t>medical school, if he had encountered similar issues. Dr. Fan shared that normally his patients waited for</t>
  </si>
  <si>
    <t>about 1.5 hours. "Do they complain?" Dr. Zhivago asked. "Of course! Because of this, I installed a 60-inch</t>
  </si>
  <si>
    <t>TV to give them a distraction besides just waiting there, which didn't help much." Dr. Zhivago thought,</t>
  </si>
  <si>
    <t>Luckily I didn't waste money on a TV. The magazines in the waiting room serve the same purpose.</t>
  </si>
  <si>
    <t>So, why were so many of patients complaining about their waiting times since Mr. Tao retired? "These days,</t>
  </si>
  <si>
    <t>people may not be as patient as in the old days. They may not read newspapers anymore and they cannot</t>
  </si>
  <si>
    <t>wait an hour without complaining," Dr. Fan said. "But it cannot be that simple," Dr. Zhivago reckoned.</t>
  </si>
  <si>
    <t>Questions:</t>
  </si>
  <si>
    <t>1. Why were the waiting times and the patients' perceptions important in service systems in general and in</t>
  </si>
  <si>
    <t>doctors' clinics in particular?</t>
  </si>
  <si>
    <t>2. Derive (a) the average waiting times for the nurse, (b) the average waiting times for the doctor, and (c)</t>
  </si>
  <si>
    <t>the average total time per visit in Tables 1 and 2, respectively. What were the differences between the</t>
  </si>
  <si>
    <t>average waiting time for the nurse and the doctor before and after Mr. Tao had retired?</t>
  </si>
  <si>
    <t>3. Imagine yourself as a patient, how would you feel about these two different service processes? Which</t>
  </si>
  <si>
    <t>process would you prefer?</t>
  </si>
  <si>
    <t>4. What led to these differences? How did Mr. Tao's longer service time affect the waiting times? Note that</t>
  </si>
  <si>
    <t>Mr. Tao sometimes idled even when patients were waiting. How did this affect the waiting times?</t>
  </si>
  <si>
    <t>Average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</si>
</sst>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1" fontId="0" fillId="0" borderId="0" xfId="0" applyNumberFormat="1"/>
    <xf numFmtId="21" fontId="1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1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2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6265-E23F-44CF-8E0A-3BE3D9C68CD1}">
  <dimension ref="A1:A71"/>
  <sheetViews>
    <sheetView topLeftCell="A13" workbookViewId="0">
      <selection activeCell="A4" sqref="A4"/>
    </sheetView>
  </sheetViews>
  <sheetFormatPr defaultRowHeight="14.25" x14ac:dyDescent="0.45"/>
  <sheetData>
    <row r="1" spans="1:1" x14ac:dyDescent="0.45">
      <c r="A1" t="s">
        <v>22</v>
      </c>
    </row>
    <row r="2" spans="1:1" x14ac:dyDescent="0.45">
      <c r="A2" t="s">
        <v>23</v>
      </c>
    </row>
    <row r="3" spans="1:1" x14ac:dyDescent="0.45">
      <c r="A3" t="s">
        <v>24</v>
      </c>
    </row>
    <row r="4" spans="1:1" x14ac:dyDescent="0.45">
      <c r="A4" t="s">
        <v>25</v>
      </c>
    </row>
    <row r="5" spans="1:1" x14ac:dyDescent="0.45">
      <c r="A5" t="s">
        <v>26</v>
      </c>
    </row>
    <row r="6" spans="1:1" x14ac:dyDescent="0.45">
      <c r="A6" t="s">
        <v>27</v>
      </c>
    </row>
    <row r="8" spans="1:1" x14ac:dyDescent="0.45">
      <c r="A8" t="s">
        <v>28</v>
      </c>
    </row>
    <row r="9" spans="1:1" x14ac:dyDescent="0.45">
      <c r="A9" t="s">
        <v>29</v>
      </c>
    </row>
    <row r="10" spans="1:1" x14ac:dyDescent="0.45">
      <c r="A10" t="s">
        <v>30</v>
      </c>
    </row>
    <row r="11" spans="1:1" x14ac:dyDescent="0.45">
      <c r="A11" t="s">
        <v>31</v>
      </c>
    </row>
    <row r="12" spans="1:1" x14ac:dyDescent="0.45">
      <c r="A12" t="s">
        <v>32</v>
      </c>
    </row>
    <row r="14" spans="1:1" x14ac:dyDescent="0.45">
      <c r="A14" t="s">
        <v>33</v>
      </c>
    </row>
    <row r="15" spans="1:1" x14ac:dyDescent="0.45">
      <c r="A15" t="s">
        <v>34</v>
      </c>
    </row>
    <row r="16" spans="1:1" x14ac:dyDescent="0.45">
      <c r="A16" t="s">
        <v>35</v>
      </c>
    </row>
    <row r="18" spans="1:1" x14ac:dyDescent="0.45">
      <c r="A18" t="s">
        <v>36</v>
      </c>
    </row>
    <row r="19" spans="1:1" x14ac:dyDescent="0.45">
      <c r="A19" t="s">
        <v>37</v>
      </c>
    </row>
    <row r="20" spans="1:1" x14ac:dyDescent="0.45">
      <c r="A20" t="s">
        <v>38</v>
      </c>
    </row>
    <row r="21" spans="1:1" x14ac:dyDescent="0.45">
      <c r="A21" t="s">
        <v>39</v>
      </c>
    </row>
    <row r="22" spans="1:1" x14ac:dyDescent="0.45">
      <c r="A22" t="s">
        <v>40</v>
      </c>
    </row>
    <row r="24" spans="1:1" x14ac:dyDescent="0.45">
      <c r="A24" t="s">
        <v>41</v>
      </c>
    </row>
    <row r="25" spans="1:1" x14ac:dyDescent="0.45">
      <c r="A25" t="s">
        <v>42</v>
      </c>
    </row>
    <row r="26" spans="1:1" x14ac:dyDescent="0.45">
      <c r="A26" t="s">
        <v>43</v>
      </c>
    </row>
    <row r="27" spans="1:1" x14ac:dyDescent="0.45">
      <c r="A27" t="s">
        <v>44</v>
      </c>
    </row>
    <row r="28" spans="1:1" x14ac:dyDescent="0.45">
      <c r="A28" t="s">
        <v>45</v>
      </c>
    </row>
    <row r="29" spans="1:1" x14ac:dyDescent="0.45">
      <c r="A29" t="s">
        <v>46</v>
      </c>
    </row>
    <row r="31" spans="1:1" x14ac:dyDescent="0.45">
      <c r="A31" t="s">
        <v>47</v>
      </c>
    </row>
    <row r="32" spans="1:1" x14ac:dyDescent="0.45">
      <c r="A32" t="s">
        <v>48</v>
      </c>
    </row>
    <row r="33" spans="1:1" x14ac:dyDescent="0.45">
      <c r="A33" t="s">
        <v>49</v>
      </c>
    </row>
    <row r="34" spans="1:1" x14ac:dyDescent="0.45">
      <c r="A34" t="s">
        <v>50</v>
      </c>
    </row>
    <row r="35" spans="1:1" x14ac:dyDescent="0.45">
      <c r="A35" t="s">
        <v>51</v>
      </c>
    </row>
    <row r="37" spans="1:1" x14ac:dyDescent="0.45">
      <c r="A37" t="s">
        <v>52</v>
      </c>
    </row>
    <row r="38" spans="1:1" x14ac:dyDescent="0.45">
      <c r="A38" t="s">
        <v>53</v>
      </c>
    </row>
    <row r="39" spans="1:1" x14ac:dyDescent="0.45">
      <c r="A39" t="s">
        <v>54</v>
      </c>
    </row>
    <row r="40" spans="1:1" x14ac:dyDescent="0.45">
      <c r="A40" t="s">
        <v>55</v>
      </c>
    </row>
    <row r="42" spans="1:1" x14ac:dyDescent="0.45">
      <c r="A42" t="s">
        <v>56</v>
      </c>
    </row>
    <row r="43" spans="1:1" x14ac:dyDescent="0.45">
      <c r="A43" t="s">
        <v>57</v>
      </c>
    </row>
    <row r="44" spans="1:1" x14ac:dyDescent="0.45">
      <c r="A44" t="s">
        <v>58</v>
      </c>
    </row>
    <row r="45" spans="1:1" x14ac:dyDescent="0.45">
      <c r="A45" t="s">
        <v>59</v>
      </c>
    </row>
    <row r="46" spans="1:1" x14ac:dyDescent="0.45">
      <c r="A46" t="s">
        <v>60</v>
      </c>
    </row>
    <row r="48" spans="1:1" x14ac:dyDescent="0.45">
      <c r="A48" t="s">
        <v>61</v>
      </c>
    </row>
    <row r="49" spans="1:1" x14ac:dyDescent="0.45">
      <c r="A49" t="s">
        <v>62</v>
      </c>
    </row>
    <row r="50" spans="1:1" x14ac:dyDescent="0.45">
      <c r="A50" t="s">
        <v>63</v>
      </c>
    </row>
    <row r="51" spans="1:1" x14ac:dyDescent="0.45">
      <c r="A51" t="s">
        <v>64</v>
      </c>
    </row>
    <row r="52" spans="1:1" x14ac:dyDescent="0.45">
      <c r="A52" t="s">
        <v>65</v>
      </c>
    </row>
    <row r="54" spans="1:1" x14ac:dyDescent="0.45">
      <c r="A54" t="s">
        <v>66</v>
      </c>
    </row>
    <row r="55" spans="1:1" x14ac:dyDescent="0.45">
      <c r="A55" t="s">
        <v>67</v>
      </c>
    </row>
    <row r="56" spans="1:1" x14ac:dyDescent="0.45">
      <c r="A56" t="s">
        <v>68</v>
      </c>
    </row>
    <row r="58" spans="1:1" x14ac:dyDescent="0.45">
      <c r="A58" t="s">
        <v>69</v>
      </c>
    </row>
    <row r="60" spans="1:1" x14ac:dyDescent="0.45">
      <c r="A60" t="s">
        <v>70</v>
      </c>
    </row>
    <row r="61" spans="1:1" x14ac:dyDescent="0.45">
      <c r="A61" t="s">
        <v>71</v>
      </c>
    </row>
    <row r="63" spans="1:1" x14ac:dyDescent="0.45">
      <c r="A63" t="s">
        <v>72</v>
      </c>
    </row>
    <row r="64" spans="1:1" x14ac:dyDescent="0.45">
      <c r="A64" t="s">
        <v>73</v>
      </c>
    </row>
    <row r="65" spans="1:1" x14ac:dyDescent="0.45">
      <c r="A65" t="s">
        <v>74</v>
      </c>
    </row>
    <row r="67" spans="1:1" x14ac:dyDescent="0.45">
      <c r="A67" t="s">
        <v>75</v>
      </c>
    </row>
    <row r="68" spans="1:1" x14ac:dyDescent="0.45">
      <c r="A68" t="s">
        <v>76</v>
      </c>
    </row>
    <row r="70" spans="1:1" x14ac:dyDescent="0.45">
      <c r="A70" t="s">
        <v>77</v>
      </c>
    </row>
    <row r="71" spans="1:1" x14ac:dyDescent="0.45">
      <c r="A7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0557-0633-482A-9D53-96F6F8443AFE}">
  <dimension ref="A3:I50"/>
  <sheetViews>
    <sheetView tabSelected="1" zoomScale="79" zoomScaleNormal="130" workbookViewId="0">
      <selection activeCell="I26" sqref="I26"/>
    </sheetView>
  </sheetViews>
  <sheetFormatPr defaultRowHeight="14.25" x14ac:dyDescent="0.45"/>
  <cols>
    <col min="1" max="1" width="10.265625" customWidth="1"/>
    <col min="2" max="2" width="18.1328125" customWidth="1"/>
    <col min="3" max="3" width="17.3984375" customWidth="1"/>
    <col min="4" max="4" width="14.86328125" customWidth="1"/>
    <col min="5" max="5" width="20" customWidth="1"/>
    <col min="6" max="6" width="17.86328125" customWidth="1"/>
    <col min="7" max="7" width="12.3984375" bestFit="1" customWidth="1"/>
    <col min="8" max="8" width="15.53125" customWidth="1"/>
    <col min="9" max="9" width="14.86328125" customWidth="1"/>
  </cols>
  <sheetData>
    <row r="3" spans="1:9" x14ac:dyDescent="0.45">
      <c r="B3" t="s">
        <v>0</v>
      </c>
    </row>
    <row r="4" spans="1:9" x14ac:dyDescent="0.4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10</v>
      </c>
      <c r="H4" t="s">
        <v>11</v>
      </c>
      <c r="I4" t="s">
        <v>17</v>
      </c>
    </row>
    <row r="5" spans="1:9" x14ac:dyDescent="0.45">
      <c r="A5">
        <v>1</v>
      </c>
      <c r="B5" s="1">
        <v>0.3818171296296296</v>
      </c>
      <c r="C5" s="1">
        <v>0.3818171296296296</v>
      </c>
      <c r="D5" s="1">
        <v>0.38386574074074076</v>
      </c>
      <c r="E5" s="1">
        <v>0.38386574074074076</v>
      </c>
      <c r="F5" s="1">
        <v>0.40372685185185186</v>
      </c>
      <c r="G5" s="1">
        <f>D5-C5</f>
        <v>2.0486111111111538E-3</v>
      </c>
      <c r="H5" s="1">
        <f>F5-E5</f>
        <v>1.9861111111111107E-2</v>
      </c>
      <c r="I5" s="1">
        <f>E5-D5</f>
        <v>0</v>
      </c>
    </row>
    <row r="6" spans="1:9" x14ac:dyDescent="0.45">
      <c r="A6">
        <v>2</v>
      </c>
      <c r="B6" s="1">
        <v>0.38579861111111113</v>
      </c>
      <c r="C6" s="1">
        <v>0.38579861111111113</v>
      </c>
      <c r="D6" s="1">
        <v>0.3921412037037037</v>
      </c>
      <c r="E6" s="1">
        <v>0.40372685185185186</v>
      </c>
      <c r="F6" s="1">
        <v>0.42635416666666665</v>
      </c>
      <c r="G6" s="1">
        <f t="shared" ref="G6:G23" si="0">D6-C6</f>
        <v>6.3425925925925664E-3</v>
      </c>
      <c r="H6" s="1">
        <f t="shared" ref="H6:H23" si="1">F6-E6</f>
        <v>2.2627314814814781E-2</v>
      </c>
      <c r="I6" s="1">
        <f t="shared" ref="I6:I23" si="2">E6-D6</f>
        <v>1.1585648148148164E-2</v>
      </c>
    </row>
    <row r="7" spans="1:9" x14ac:dyDescent="0.45">
      <c r="A7">
        <v>3</v>
      </c>
      <c r="B7" s="1">
        <v>0.40258101851851852</v>
      </c>
      <c r="C7" s="1">
        <v>0.40258101851851852</v>
      </c>
      <c r="D7" s="1">
        <v>0.40696759259259258</v>
      </c>
      <c r="E7" s="1">
        <v>0.42635416666666665</v>
      </c>
      <c r="F7" s="1">
        <v>0.43356481481481479</v>
      </c>
      <c r="G7" s="1">
        <f t="shared" si="0"/>
        <v>4.3865740740740566E-3</v>
      </c>
      <c r="H7" s="1">
        <f t="shared" si="1"/>
        <v>7.2106481481481466E-3</v>
      </c>
      <c r="I7" s="1">
        <f t="shared" si="2"/>
        <v>1.938657407407407E-2</v>
      </c>
    </row>
    <row r="8" spans="1:9" x14ac:dyDescent="0.45">
      <c r="A8">
        <v>4</v>
      </c>
      <c r="B8" s="1">
        <v>0.40598379629629627</v>
      </c>
      <c r="C8" s="1">
        <v>0.40696759259259258</v>
      </c>
      <c r="D8" s="1">
        <v>0.40899305555555554</v>
      </c>
      <c r="E8" s="1">
        <v>0.43356481481481479</v>
      </c>
      <c r="F8" s="1">
        <v>0.45041666666666669</v>
      </c>
      <c r="G8" s="1">
        <f t="shared" si="0"/>
        <v>2.025462962962965E-3</v>
      </c>
      <c r="H8" s="1">
        <f t="shared" si="1"/>
        <v>1.6851851851851896E-2</v>
      </c>
      <c r="I8" s="1">
        <f t="shared" si="2"/>
        <v>2.4571759259259252E-2</v>
      </c>
    </row>
    <row r="9" spans="1:9" x14ac:dyDescent="0.45">
      <c r="A9">
        <v>5</v>
      </c>
      <c r="B9" s="1">
        <v>0.43679398148148146</v>
      </c>
      <c r="C9" s="1">
        <v>0.43679398148148146</v>
      </c>
      <c r="D9" s="1">
        <v>0.44186342592592592</v>
      </c>
      <c r="E9" s="1">
        <v>0.45041666666666669</v>
      </c>
      <c r="F9" s="1">
        <v>0.45840277777777777</v>
      </c>
      <c r="G9" s="1">
        <f t="shared" si="0"/>
        <v>5.0694444444444597E-3</v>
      </c>
      <c r="H9" s="1">
        <f t="shared" si="1"/>
        <v>7.9861111111110827E-3</v>
      </c>
      <c r="I9" s="1">
        <f t="shared" si="2"/>
        <v>8.553240740740764E-3</v>
      </c>
    </row>
    <row r="10" spans="1:9" x14ac:dyDescent="0.45">
      <c r="A10">
        <v>6</v>
      </c>
      <c r="B10" s="1">
        <v>0.44410879629629629</v>
      </c>
      <c r="C10" s="1">
        <v>0.44410879629629629</v>
      </c>
      <c r="D10" s="1">
        <v>0.45050925925925928</v>
      </c>
      <c r="E10" s="1">
        <v>0.45840277777777777</v>
      </c>
      <c r="F10" s="1">
        <v>0.47890046296296296</v>
      </c>
      <c r="G10" s="1">
        <f t="shared" si="0"/>
        <v>6.4004629629629828E-3</v>
      </c>
      <c r="H10" s="1">
        <f t="shared" si="1"/>
        <v>2.0497685185185188E-2</v>
      </c>
      <c r="I10" s="1">
        <f t="shared" si="2"/>
        <v>7.8935185185184942E-3</v>
      </c>
    </row>
    <row r="11" spans="1:9" x14ac:dyDescent="0.45">
      <c r="A11">
        <v>7</v>
      </c>
      <c r="B11" s="1">
        <v>0.45708333333333334</v>
      </c>
      <c r="C11" s="1">
        <v>0.45708333333333334</v>
      </c>
      <c r="D11" s="1">
        <v>0.45943287037037039</v>
      </c>
      <c r="E11" s="1">
        <v>0.47890046296296296</v>
      </c>
      <c r="F11" s="1">
        <v>0.48378472222222224</v>
      </c>
      <c r="G11" s="1">
        <f t="shared" si="0"/>
        <v>2.3495370370370527E-3</v>
      </c>
      <c r="H11" s="1">
        <f t="shared" si="1"/>
        <v>4.8842592592592826E-3</v>
      </c>
      <c r="I11" s="1">
        <f t="shared" si="2"/>
        <v>1.9467592592592564E-2</v>
      </c>
    </row>
    <row r="12" spans="1:9" x14ac:dyDescent="0.45">
      <c r="A12">
        <v>8</v>
      </c>
      <c r="B12" s="1">
        <v>0.45844907407407409</v>
      </c>
      <c r="C12" s="1">
        <v>0.45943287037037039</v>
      </c>
      <c r="D12" s="1">
        <v>0.46516203703703701</v>
      </c>
      <c r="E12" s="1">
        <v>0.48378472222222224</v>
      </c>
      <c r="F12" s="1">
        <v>0.51128472222222221</v>
      </c>
      <c r="G12" s="1">
        <f t="shared" si="0"/>
        <v>5.7291666666666186E-3</v>
      </c>
      <c r="H12" s="1">
        <f t="shared" si="1"/>
        <v>2.7499999999999969E-2</v>
      </c>
      <c r="I12" s="1">
        <f t="shared" si="2"/>
        <v>1.8622685185185228E-2</v>
      </c>
    </row>
    <row r="13" spans="1:9" x14ac:dyDescent="0.45">
      <c r="A13">
        <v>9</v>
      </c>
      <c r="B13" s="1">
        <v>0.48826388888888889</v>
      </c>
      <c r="C13" s="1">
        <v>0.48826388888888889</v>
      </c>
      <c r="D13" s="1">
        <v>0.48962962962962964</v>
      </c>
      <c r="E13" s="1">
        <v>0.51128472222222221</v>
      </c>
      <c r="F13" s="1">
        <v>0.52439814814814811</v>
      </c>
      <c r="G13" s="1">
        <f t="shared" si="0"/>
        <v>1.3657407407407507E-3</v>
      </c>
      <c r="H13" s="1">
        <f t="shared" si="1"/>
        <v>1.3113425925925903E-2</v>
      </c>
      <c r="I13" s="1">
        <f t="shared" si="2"/>
        <v>2.1655092592592573E-2</v>
      </c>
    </row>
    <row r="14" spans="1:9" x14ac:dyDescent="0.45">
      <c r="A14">
        <v>10</v>
      </c>
      <c r="B14" s="1">
        <v>0.4914351851851852</v>
      </c>
      <c r="C14" s="1">
        <v>0.4914351851851852</v>
      </c>
      <c r="D14" s="1">
        <v>0.49501157407407409</v>
      </c>
      <c r="E14" s="1">
        <v>0.52439814814814811</v>
      </c>
      <c r="F14" s="1">
        <v>0.52668981481481481</v>
      </c>
      <c r="G14" s="1">
        <f t="shared" si="0"/>
        <v>3.5763888888888928E-3</v>
      </c>
      <c r="H14" s="1">
        <f t="shared" si="1"/>
        <v>2.2916666666666918E-3</v>
      </c>
      <c r="I14" s="1">
        <f t="shared" si="2"/>
        <v>2.9386574074074023E-2</v>
      </c>
    </row>
    <row r="15" spans="1:9" x14ac:dyDescent="0.45">
      <c r="A15">
        <v>11</v>
      </c>
      <c r="B15" s="1">
        <v>0.50059027777777776</v>
      </c>
      <c r="C15" s="1">
        <v>0.50059027777777776</v>
      </c>
      <c r="D15" s="1">
        <v>0.50689814814814815</v>
      </c>
      <c r="E15" s="1">
        <v>0.52668981481481481</v>
      </c>
      <c r="F15" s="1">
        <v>0.54609953703703706</v>
      </c>
      <c r="G15" s="1">
        <f t="shared" si="0"/>
        <v>6.3078703703703942E-3</v>
      </c>
      <c r="H15" s="1">
        <f t="shared" si="1"/>
        <v>1.9409722222222259E-2</v>
      </c>
      <c r="I15" s="1">
        <f t="shared" si="2"/>
        <v>1.9791666666666652E-2</v>
      </c>
    </row>
    <row r="16" spans="1:9" x14ac:dyDescent="0.45">
      <c r="A16">
        <v>12</v>
      </c>
      <c r="B16" s="1">
        <v>0.51467592592592593</v>
      </c>
      <c r="C16" s="1">
        <v>0.51467592592592593</v>
      </c>
      <c r="D16" s="1">
        <v>0.51875000000000004</v>
      </c>
      <c r="E16" s="1">
        <v>0.54609953703703706</v>
      </c>
      <c r="F16" s="1">
        <v>0.56214120370370368</v>
      </c>
      <c r="G16" s="1">
        <f t="shared" si="0"/>
        <v>4.0740740740741188E-3</v>
      </c>
      <c r="H16" s="1">
        <f t="shared" si="1"/>
        <v>1.6041666666666621E-2</v>
      </c>
      <c r="I16" s="1">
        <f t="shared" si="2"/>
        <v>2.7349537037037019E-2</v>
      </c>
    </row>
    <row r="17" spans="1:9" x14ac:dyDescent="0.45">
      <c r="A17">
        <v>13</v>
      </c>
      <c r="B17" s="1">
        <v>0.53160879629629632</v>
      </c>
      <c r="C17" s="1">
        <v>0.53160879629629632</v>
      </c>
      <c r="D17" s="1">
        <v>0.53203703703703709</v>
      </c>
      <c r="E17" s="1">
        <v>0.56214120370370368</v>
      </c>
      <c r="F17" s="1">
        <v>0.5639467592592593</v>
      </c>
      <c r="G17" s="1">
        <f t="shared" si="0"/>
        <v>4.2824074074077068E-4</v>
      </c>
      <c r="H17" s="1">
        <f t="shared" si="1"/>
        <v>1.8055555555556158E-3</v>
      </c>
      <c r="I17" s="1">
        <f t="shared" si="2"/>
        <v>3.0104166666666599E-2</v>
      </c>
    </row>
    <row r="18" spans="1:9" x14ac:dyDescent="0.45">
      <c r="A18">
        <v>14</v>
      </c>
      <c r="B18" s="1">
        <v>0.56351851851851853</v>
      </c>
      <c r="C18" s="1">
        <v>0.56351851851851853</v>
      </c>
      <c r="D18" s="1">
        <v>0.56732638888888887</v>
      </c>
      <c r="E18" s="1">
        <v>0.56732638888888887</v>
      </c>
      <c r="F18" s="1">
        <v>0.59312500000000001</v>
      </c>
      <c r="G18" s="1">
        <f t="shared" si="0"/>
        <v>3.8078703703703365E-3</v>
      </c>
      <c r="H18" s="1">
        <f t="shared" si="1"/>
        <v>2.5798611111111147E-2</v>
      </c>
      <c r="I18" s="1">
        <f t="shared" si="2"/>
        <v>0</v>
      </c>
    </row>
    <row r="19" spans="1:9" x14ac:dyDescent="0.45">
      <c r="A19">
        <v>15</v>
      </c>
      <c r="B19" s="1">
        <v>0.56773148148148145</v>
      </c>
      <c r="C19" s="1">
        <v>0.56773148148148145</v>
      </c>
      <c r="D19" s="1">
        <v>0.56812499999999999</v>
      </c>
      <c r="E19" s="1">
        <v>0.59312500000000001</v>
      </c>
      <c r="F19" s="1">
        <v>0.60974537037037035</v>
      </c>
      <c r="G19" s="1">
        <f t="shared" si="0"/>
        <v>3.9351851851854303E-4</v>
      </c>
      <c r="H19" s="1">
        <f t="shared" si="1"/>
        <v>1.6620370370370341E-2</v>
      </c>
      <c r="I19" s="1">
        <f t="shared" si="2"/>
        <v>2.5000000000000022E-2</v>
      </c>
    </row>
    <row r="20" spans="1:9" x14ac:dyDescent="0.45">
      <c r="A20">
        <v>16</v>
      </c>
      <c r="B20" s="1">
        <v>0.58703703703703702</v>
      </c>
      <c r="C20" s="1">
        <v>0.58703703703703702</v>
      </c>
      <c r="D20" s="1">
        <v>0.59266203703703701</v>
      </c>
      <c r="E20" s="1">
        <v>0.60974537037037035</v>
      </c>
      <c r="F20" s="1">
        <v>0.63170138888888894</v>
      </c>
      <c r="G20" s="1">
        <f t="shared" si="0"/>
        <v>5.6249999999999911E-3</v>
      </c>
      <c r="H20" s="1">
        <f t="shared" si="1"/>
        <v>2.1956018518518583E-2</v>
      </c>
      <c r="I20" s="1">
        <f t="shared" si="2"/>
        <v>1.7083333333333339E-2</v>
      </c>
    </row>
    <row r="21" spans="1:9" x14ac:dyDescent="0.45">
      <c r="A21">
        <v>17</v>
      </c>
      <c r="B21" s="1">
        <v>0.59445601851851848</v>
      </c>
      <c r="C21" s="1">
        <v>0.59445601851851848</v>
      </c>
      <c r="D21" s="1">
        <v>0.59710648148148149</v>
      </c>
      <c r="E21" s="1">
        <v>0.63170138888888894</v>
      </c>
      <c r="F21" s="1">
        <v>0.63318287037037035</v>
      </c>
      <c r="G21" s="1">
        <f t="shared" si="0"/>
        <v>2.6504629629630072E-3</v>
      </c>
      <c r="H21" s="1">
        <f t="shared" si="1"/>
        <v>1.481481481481417E-3</v>
      </c>
      <c r="I21" s="1">
        <f t="shared" si="2"/>
        <v>3.4594907407407449E-2</v>
      </c>
    </row>
    <row r="22" spans="1:9" x14ac:dyDescent="0.45">
      <c r="A22">
        <v>18</v>
      </c>
      <c r="B22" s="1">
        <v>0.60162037037037042</v>
      </c>
      <c r="C22" s="1">
        <v>0.60162037037037042</v>
      </c>
      <c r="D22" s="1">
        <v>0.60603009259259255</v>
      </c>
      <c r="E22" s="1">
        <v>0.63318287037037035</v>
      </c>
      <c r="F22" s="1">
        <v>0.65238425925925925</v>
      </c>
      <c r="G22" s="1">
        <f t="shared" si="0"/>
        <v>4.4097222222221344E-3</v>
      </c>
      <c r="H22" s="1">
        <f t="shared" si="1"/>
        <v>1.9201388888888893E-2</v>
      </c>
      <c r="I22" s="1">
        <f t="shared" si="2"/>
        <v>2.7152777777777803E-2</v>
      </c>
    </row>
    <row r="23" spans="1:9" x14ac:dyDescent="0.45">
      <c r="A23">
        <v>19</v>
      </c>
      <c r="B23" s="1">
        <v>0.61799768518518516</v>
      </c>
      <c r="C23" s="1">
        <v>0.61799768518518516</v>
      </c>
      <c r="D23" s="1">
        <v>0.62445601851851851</v>
      </c>
      <c r="E23" s="1">
        <v>0.65238425925925925</v>
      </c>
      <c r="F23" s="1">
        <v>0.65406249999999999</v>
      </c>
      <c r="G23" s="1">
        <f t="shared" si="0"/>
        <v>6.4583333333333437E-3</v>
      </c>
      <c r="H23" s="1">
        <f t="shared" si="1"/>
        <v>1.678240740740744E-3</v>
      </c>
      <c r="I23" s="1">
        <f t="shared" si="2"/>
        <v>2.792824074074074E-2</v>
      </c>
    </row>
    <row r="24" spans="1:9" x14ac:dyDescent="0.45">
      <c r="B24" s="1"/>
      <c r="C24" s="1"/>
      <c r="D24" s="1"/>
      <c r="E24" s="1"/>
      <c r="F24" s="1" t="s">
        <v>79</v>
      </c>
      <c r="G24" s="2">
        <f>AVERAGE(G5:G23)</f>
        <v>3.8657407407407442E-3</v>
      </c>
      <c r="H24" s="2">
        <f>AVERAGE(H5:H23)</f>
        <v>1.4043006822612088E-2</v>
      </c>
      <c r="I24" s="2">
        <f>AVERAGE(I5:I23)</f>
        <v>1.9480384990253407E-2</v>
      </c>
    </row>
    <row r="25" spans="1:9" x14ac:dyDescent="0.45">
      <c r="A25" t="s">
        <v>7</v>
      </c>
      <c r="I25" s="1"/>
    </row>
    <row r="28" spans="1:9" x14ac:dyDescent="0.45">
      <c r="B28" t="s">
        <v>8</v>
      </c>
    </row>
    <row r="29" spans="1:9" x14ac:dyDescent="0.45">
      <c r="A29" t="s">
        <v>1</v>
      </c>
      <c r="B29" t="s">
        <v>2</v>
      </c>
      <c r="C29" t="s">
        <v>3</v>
      </c>
      <c r="D29" t="s">
        <v>4</v>
      </c>
      <c r="E29" t="s">
        <v>5</v>
      </c>
      <c r="F29" t="s">
        <v>6</v>
      </c>
      <c r="G29" t="s">
        <v>10</v>
      </c>
      <c r="H29" t="s">
        <v>11</v>
      </c>
      <c r="I29" t="s">
        <v>17</v>
      </c>
    </row>
    <row r="30" spans="1:9" x14ac:dyDescent="0.45">
      <c r="A30">
        <v>1</v>
      </c>
      <c r="B30" s="1">
        <v>0.38115740740740739</v>
      </c>
      <c r="C30" s="1">
        <v>0.38115740740740739</v>
      </c>
      <c r="D30" s="1">
        <v>0.39068287037037036</v>
      </c>
      <c r="E30" s="1">
        <v>0.39068287037037036</v>
      </c>
      <c r="F30" s="1">
        <v>0.40763888888888888</v>
      </c>
      <c r="G30" s="1">
        <f>D30-C30</f>
        <v>9.5254629629629717E-3</v>
      </c>
      <c r="H30" s="1">
        <f>F30-E30</f>
        <v>1.6956018518518523E-2</v>
      </c>
      <c r="I30" s="1">
        <f>E30-D30</f>
        <v>0</v>
      </c>
    </row>
    <row r="31" spans="1:9" x14ac:dyDescent="0.45">
      <c r="A31">
        <v>2</v>
      </c>
      <c r="B31" s="1">
        <v>0.38831018518518517</v>
      </c>
      <c r="C31" s="1">
        <v>0.39068287037037036</v>
      </c>
      <c r="D31" s="1">
        <v>0.39211805555555557</v>
      </c>
      <c r="E31" s="1">
        <v>0.40763888888888888</v>
      </c>
      <c r="F31" s="1">
        <v>0.42464120370370373</v>
      </c>
      <c r="G31" s="1">
        <f>D31-C31</f>
        <v>1.435185185185206E-3</v>
      </c>
      <c r="H31" s="1">
        <f>F31-E31</f>
        <v>1.7002314814814845E-2</v>
      </c>
      <c r="I31" s="1">
        <f>E31-D31</f>
        <v>1.5520833333333317E-2</v>
      </c>
    </row>
    <row r="32" spans="1:9" x14ac:dyDescent="0.45">
      <c r="A32">
        <v>3</v>
      </c>
      <c r="B32" s="1">
        <v>0.40196759259259257</v>
      </c>
      <c r="C32" s="1">
        <v>0.4079861111111111</v>
      </c>
      <c r="D32" s="1">
        <v>0.41136574074074073</v>
      </c>
      <c r="E32" s="1">
        <v>0.42464120370370373</v>
      </c>
      <c r="F32" s="1">
        <v>0.44219907407407405</v>
      </c>
      <c r="G32" s="1">
        <f>D32-C32</f>
        <v>3.3796296296296213E-3</v>
      </c>
      <c r="H32" s="1">
        <f>F32-E32</f>
        <v>1.7557870370370321E-2</v>
      </c>
      <c r="I32" s="1">
        <f>E32-D32</f>
        <v>1.3275462962963003E-2</v>
      </c>
    </row>
    <row r="33" spans="1:9" x14ac:dyDescent="0.45">
      <c r="A33">
        <v>4</v>
      </c>
      <c r="B33" s="1">
        <v>0.42054398148148148</v>
      </c>
      <c r="C33" s="1">
        <v>0.42505787037037035</v>
      </c>
      <c r="D33" s="1">
        <v>0.43049768518518516</v>
      </c>
      <c r="E33" s="1">
        <v>0.44219907407407405</v>
      </c>
      <c r="F33" s="1">
        <v>0.45228009259259261</v>
      </c>
      <c r="G33" s="1">
        <f>D33-C33</f>
        <v>5.439814814814814E-3</v>
      </c>
      <c r="H33" s="1">
        <f>F33-E33</f>
        <v>1.0081018518518559E-2</v>
      </c>
      <c r="I33" s="1">
        <f>E33-D33</f>
        <v>1.1701388888888886E-2</v>
      </c>
    </row>
    <row r="34" spans="1:9" x14ac:dyDescent="0.45">
      <c r="A34">
        <v>5</v>
      </c>
      <c r="B34" s="1">
        <v>0.42922453703703706</v>
      </c>
      <c r="C34" s="1">
        <v>0.44224537037037037</v>
      </c>
      <c r="D34" s="1">
        <v>0.45068287037037036</v>
      </c>
      <c r="E34" s="1">
        <v>0.45228009259259261</v>
      </c>
      <c r="F34" s="1">
        <v>0.46283564814814815</v>
      </c>
      <c r="G34" s="1">
        <f>D34-C34</f>
        <v>8.4374999999999867E-3</v>
      </c>
      <c r="H34" s="1">
        <f>F34-E34</f>
        <v>1.055555555555554E-2</v>
      </c>
      <c r="I34" s="1">
        <f>E34-D34</f>
        <v>1.5972222222222499E-3</v>
      </c>
    </row>
    <row r="35" spans="1:9" x14ac:dyDescent="0.45">
      <c r="A35">
        <v>6</v>
      </c>
      <c r="B35" s="1">
        <v>0.44091435185185185</v>
      </c>
      <c r="C35" s="1">
        <v>0.45068287037037036</v>
      </c>
      <c r="D35" s="1">
        <v>0.45197916666666665</v>
      </c>
      <c r="E35" s="1">
        <v>0.46283564814814815</v>
      </c>
      <c r="F35" s="1">
        <v>0.47908564814814814</v>
      </c>
      <c r="G35" s="1">
        <f>D35-C35</f>
        <v>1.2962962962962954E-3</v>
      </c>
      <c r="H35" s="1">
        <f>F35-E35</f>
        <v>1.6249999999999987E-2</v>
      </c>
      <c r="I35" s="1">
        <f>E35-D35</f>
        <v>1.0856481481481495E-2</v>
      </c>
    </row>
    <row r="36" spans="1:9" x14ac:dyDescent="0.45">
      <c r="A36">
        <v>7</v>
      </c>
      <c r="B36" s="1">
        <v>0.46158564814814818</v>
      </c>
      <c r="C36" s="1">
        <v>0.46322916666666669</v>
      </c>
      <c r="D36" s="1">
        <v>0.46508101851851852</v>
      </c>
      <c r="E36" s="1">
        <v>0.47908564814814814</v>
      </c>
      <c r="F36" s="1">
        <v>0.50127314814814816</v>
      </c>
      <c r="G36" s="1">
        <f>D36-C36</f>
        <v>1.8518518518518268E-3</v>
      </c>
      <c r="H36" s="1">
        <f>F36-E36</f>
        <v>2.2187500000000027E-2</v>
      </c>
      <c r="I36" s="1">
        <f>E36-D36</f>
        <v>1.4004629629629617E-2</v>
      </c>
    </row>
    <row r="37" spans="1:9" x14ac:dyDescent="0.45">
      <c r="A37">
        <v>8</v>
      </c>
      <c r="B37" s="1">
        <v>0.46626157407407409</v>
      </c>
      <c r="C37" s="1">
        <v>0.46968749999999998</v>
      </c>
      <c r="D37" s="1">
        <v>0.4752662037037037</v>
      </c>
      <c r="E37" s="1">
        <v>0.50127314814814816</v>
      </c>
      <c r="F37" s="1">
        <v>0.50771990740740736</v>
      </c>
      <c r="G37" s="1">
        <f>D37-C37</f>
        <v>5.5787037037037246E-3</v>
      </c>
      <c r="H37" s="1">
        <f>F37-E37</f>
        <v>6.4467592592591938E-3</v>
      </c>
      <c r="I37" s="1">
        <f>E37-D37</f>
        <v>2.6006944444444458E-2</v>
      </c>
    </row>
    <row r="38" spans="1:9" x14ac:dyDescent="0.45">
      <c r="A38">
        <v>9</v>
      </c>
      <c r="B38" s="1">
        <v>0.48061342592592593</v>
      </c>
      <c r="C38" s="1">
        <v>0.49103009259259262</v>
      </c>
      <c r="D38" s="1">
        <v>0.49622685185185184</v>
      </c>
      <c r="E38" s="1">
        <v>0.50771990740740736</v>
      </c>
      <c r="F38" s="1">
        <v>0.52751157407407412</v>
      </c>
      <c r="G38" s="1">
        <f>D38-C38</f>
        <v>5.1967592592592204E-3</v>
      </c>
      <c r="H38" s="1">
        <f>F38-E38</f>
        <v>1.9791666666666763E-2</v>
      </c>
      <c r="I38" s="1">
        <f>E38-D38</f>
        <v>1.149305555555552E-2</v>
      </c>
    </row>
    <row r="39" spans="1:9" x14ac:dyDescent="0.45">
      <c r="A39">
        <v>10</v>
      </c>
      <c r="B39" s="1">
        <v>0.49716435185185187</v>
      </c>
      <c r="C39" s="1">
        <v>0.50268518518518523</v>
      </c>
      <c r="D39" s="1">
        <v>0.50946759259259256</v>
      </c>
      <c r="E39" s="1">
        <v>0.52751157407407412</v>
      </c>
      <c r="F39" s="1">
        <v>0.5396643518518518</v>
      </c>
      <c r="G39" s="1">
        <f>D39-C39</f>
        <v>6.7824074074073204E-3</v>
      </c>
      <c r="H39" s="1">
        <f>F39-E39</f>
        <v>1.2152777777777679E-2</v>
      </c>
      <c r="I39" s="1">
        <f>E39-D39</f>
        <v>1.8043981481481564E-2</v>
      </c>
    </row>
    <row r="40" spans="1:9" x14ac:dyDescent="0.45">
      <c r="A40">
        <v>11</v>
      </c>
      <c r="B40" s="1">
        <v>0.51857638888888891</v>
      </c>
      <c r="C40" s="1">
        <v>0.51857638888888891</v>
      </c>
      <c r="D40" s="1">
        <v>0.52688657407407402</v>
      </c>
      <c r="E40" s="1">
        <v>0.5396643518518518</v>
      </c>
      <c r="F40" s="1">
        <v>0.55965277777777778</v>
      </c>
      <c r="G40" s="1">
        <f>D40-C40</f>
        <v>8.310185185185115E-3</v>
      </c>
      <c r="H40" s="1">
        <f>F40-E40</f>
        <v>1.9988425925925979E-2</v>
      </c>
      <c r="I40" s="1">
        <f>E40-D40</f>
        <v>1.2777777777777777E-2</v>
      </c>
    </row>
    <row r="41" spans="1:9" x14ac:dyDescent="0.45">
      <c r="A41">
        <v>12</v>
      </c>
      <c r="B41" s="1">
        <v>0.52490740740740738</v>
      </c>
      <c r="C41" s="1">
        <v>0.53495370370370365</v>
      </c>
      <c r="D41" s="1">
        <v>0.54194444444444445</v>
      </c>
      <c r="E41" s="1">
        <v>0.55965277777777778</v>
      </c>
      <c r="F41" s="1">
        <v>0.57767361111111115</v>
      </c>
      <c r="G41" s="1">
        <f>D41-C41</f>
        <v>6.9907407407407973E-3</v>
      </c>
      <c r="H41" s="1">
        <f>F41-E41</f>
        <v>1.8020833333333375E-2</v>
      </c>
      <c r="I41" s="1">
        <f>E41-D41</f>
        <v>1.7708333333333326E-2</v>
      </c>
    </row>
    <row r="42" spans="1:9" x14ac:dyDescent="0.45">
      <c r="A42">
        <v>13</v>
      </c>
      <c r="B42" s="1">
        <v>0.54342592592592598</v>
      </c>
      <c r="C42" s="1">
        <v>0.55387731481481484</v>
      </c>
      <c r="D42" s="1">
        <v>0.562962962962963</v>
      </c>
      <c r="E42" s="1">
        <v>0.57767361111111115</v>
      </c>
      <c r="F42" s="1">
        <v>0.58303240740740736</v>
      </c>
      <c r="G42" s="1">
        <f>D42-C42</f>
        <v>9.0856481481481621E-3</v>
      </c>
      <c r="H42" s="1">
        <f>F42-E42</f>
        <v>5.3587962962962088E-3</v>
      </c>
      <c r="I42" s="1">
        <f>E42-D42</f>
        <v>1.4710648148148153E-2</v>
      </c>
    </row>
    <row r="43" spans="1:9" x14ac:dyDescent="0.45">
      <c r="A43">
        <v>14</v>
      </c>
      <c r="B43" s="1">
        <v>0.55517361111111108</v>
      </c>
      <c r="C43" s="1">
        <v>0.562962962962963</v>
      </c>
      <c r="D43" s="1">
        <v>0.56643518518518521</v>
      </c>
      <c r="E43" s="1">
        <v>0.58303240740740736</v>
      </c>
      <c r="F43" s="1">
        <v>0.59108796296296295</v>
      </c>
      <c r="G43" s="1">
        <f>D43-C43</f>
        <v>3.4722222222222099E-3</v>
      </c>
      <c r="H43" s="1">
        <f>F43-E43</f>
        <v>8.0555555555555935E-3</v>
      </c>
      <c r="I43" s="1">
        <f>E43-D43</f>
        <v>1.6597222222222152E-2</v>
      </c>
    </row>
    <row r="44" spans="1:9" x14ac:dyDescent="0.45">
      <c r="A44">
        <v>15</v>
      </c>
      <c r="B44" s="1">
        <v>0.55884259259259261</v>
      </c>
      <c r="C44" s="1">
        <v>0.56944444444444442</v>
      </c>
      <c r="D44" s="1">
        <v>0.57800925925925928</v>
      </c>
      <c r="E44" s="1">
        <v>0.59108796296296295</v>
      </c>
      <c r="F44" s="1">
        <v>0.5972453703703704</v>
      </c>
      <c r="G44" s="1">
        <f>D44-C44</f>
        <v>8.5648148148148584E-3</v>
      </c>
      <c r="H44" s="1">
        <f>F44-E44</f>
        <v>6.1574074074074447E-3</v>
      </c>
      <c r="I44" s="1">
        <f>E44-D44</f>
        <v>1.3078703703703676E-2</v>
      </c>
    </row>
    <row r="45" spans="1:9" x14ac:dyDescent="0.45">
      <c r="A45">
        <v>16</v>
      </c>
      <c r="B45" s="1">
        <v>0.58287037037037037</v>
      </c>
      <c r="C45" s="1">
        <v>0.58975694444444449</v>
      </c>
      <c r="D45" s="1">
        <v>0.59350694444444441</v>
      </c>
      <c r="E45" s="1">
        <v>0.5972453703703704</v>
      </c>
      <c r="F45" s="1">
        <v>0.62230324074074073</v>
      </c>
      <c r="G45" s="1">
        <f>D45-C45</f>
        <v>3.7499999999999201E-3</v>
      </c>
      <c r="H45" s="1">
        <f>F45-E45</f>
        <v>2.5057870370370328E-2</v>
      </c>
      <c r="I45" s="1">
        <f>E45-D45</f>
        <v>3.7384259259259922E-3</v>
      </c>
    </row>
    <row r="46" spans="1:9" x14ac:dyDescent="0.45">
      <c r="A46">
        <v>17</v>
      </c>
      <c r="B46" s="1">
        <v>0.59927083333333331</v>
      </c>
      <c r="C46" s="1">
        <v>0.59927083333333331</v>
      </c>
      <c r="D46" s="1">
        <v>0.60454861111111113</v>
      </c>
      <c r="E46" s="1">
        <v>0.62230324074074073</v>
      </c>
      <c r="F46" s="1">
        <v>0.63197916666666665</v>
      </c>
      <c r="G46" s="1">
        <f>D46-C46</f>
        <v>5.2777777777778256E-3</v>
      </c>
      <c r="H46" s="1">
        <f>F46-E46</f>
        <v>9.6759259259259212E-3</v>
      </c>
      <c r="I46" s="1">
        <f>E46-D46</f>
        <v>1.7754629629629592E-2</v>
      </c>
    </row>
    <row r="47" spans="1:9" x14ac:dyDescent="0.45">
      <c r="A47">
        <v>18</v>
      </c>
      <c r="B47" s="1">
        <v>0.6039930555555556</v>
      </c>
      <c r="C47" s="1">
        <v>0.60454861111111113</v>
      </c>
      <c r="D47" s="1">
        <v>0.60825231481481479</v>
      </c>
      <c r="E47" s="1">
        <v>0.63197916666666665</v>
      </c>
      <c r="F47" s="1">
        <v>0.6550231481481481</v>
      </c>
      <c r="G47" s="1">
        <f>D47-C47</f>
        <v>3.7037037037036535E-3</v>
      </c>
      <c r="H47" s="1">
        <f>F47-E47</f>
        <v>2.3043981481481457E-2</v>
      </c>
      <c r="I47" s="1">
        <f>E47-D47</f>
        <v>2.372685185185186E-2</v>
      </c>
    </row>
    <row r="48" spans="1:9" x14ac:dyDescent="0.45">
      <c r="A48">
        <v>19</v>
      </c>
      <c r="B48" s="1">
        <v>0.63172453703703701</v>
      </c>
      <c r="C48" s="1">
        <v>0.63263888888888886</v>
      </c>
      <c r="D48" s="1">
        <v>0.64483796296296292</v>
      </c>
      <c r="E48" s="1">
        <v>0.6550231481481481</v>
      </c>
      <c r="F48" s="1">
        <v>0.66107638888888887</v>
      </c>
      <c r="G48" s="1">
        <f>D48-C48</f>
        <v>1.2199074074074057E-2</v>
      </c>
      <c r="H48" s="1">
        <f>F48-E48</f>
        <v>6.0532407407407618E-3</v>
      </c>
      <c r="I48" s="1">
        <f>E48-D48</f>
        <v>1.0185185185185186E-2</v>
      </c>
    </row>
    <row r="49" spans="1:9" x14ac:dyDescent="0.45">
      <c r="B49" s="1"/>
      <c r="C49" s="1"/>
      <c r="D49" s="1"/>
      <c r="E49" s="1"/>
      <c r="F49" s="1" t="s">
        <v>79</v>
      </c>
      <c r="G49" s="2">
        <f>AVERAGE(G30:G48)</f>
        <v>5.8040935672514522E-3</v>
      </c>
      <c r="H49" s="2">
        <f>AVERAGE(H30:H48)</f>
        <v>1.4231237816764131E-2</v>
      </c>
      <c r="I49" s="2">
        <f>AVERAGE(I30:I48)</f>
        <v>1.3304093567251464E-2</v>
      </c>
    </row>
    <row r="50" spans="1:9" x14ac:dyDescent="0.45">
      <c r="A5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0A82-9927-4FF3-9AB0-4B030754112E}">
  <dimension ref="A1:G22"/>
  <sheetViews>
    <sheetView workbookViewId="0">
      <selection activeCell="G23" sqref="G23"/>
    </sheetView>
  </sheetViews>
  <sheetFormatPr defaultRowHeight="14.25" x14ac:dyDescent="0.45"/>
  <sheetData>
    <row r="1" spans="1:7" ht="28.9" thickBot="1" x14ac:dyDescent="0.5">
      <c r="A1" s="3" t="s">
        <v>12</v>
      </c>
      <c r="B1" s="3" t="s">
        <v>13</v>
      </c>
      <c r="C1" s="3" t="s">
        <v>14</v>
      </c>
      <c r="D1" s="3" t="s">
        <v>15</v>
      </c>
      <c r="E1" s="3" t="s">
        <v>5</v>
      </c>
      <c r="F1" s="3" t="s">
        <v>16</v>
      </c>
    </row>
    <row r="2" spans="1:7" ht="14.65" thickBot="1" x14ac:dyDescent="0.5">
      <c r="A2" s="4">
        <v>1</v>
      </c>
      <c r="B2" s="5">
        <v>0.3818171296296296</v>
      </c>
      <c r="C2" s="5">
        <v>0.3818171296296296</v>
      </c>
      <c r="D2" s="5">
        <v>0.38386574074074076</v>
      </c>
      <c r="E2" s="5">
        <v>0.38386574074074076</v>
      </c>
      <c r="F2" s="5">
        <v>0.40372685185185186</v>
      </c>
      <c r="G2" s="1">
        <f>E2-D2</f>
        <v>0</v>
      </c>
    </row>
    <row r="3" spans="1:7" ht="14.65" thickBot="1" x14ac:dyDescent="0.5">
      <c r="A3" s="4">
        <v>2</v>
      </c>
      <c r="B3" s="5">
        <v>0.38579861111111113</v>
      </c>
      <c r="C3" s="5">
        <v>0.38579861111111113</v>
      </c>
      <c r="D3" s="5">
        <v>0.3921412037037037</v>
      </c>
      <c r="E3" s="5">
        <v>0.40372685185185186</v>
      </c>
      <c r="F3" s="5">
        <v>0.42635416666666665</v>
      </c>
      <c r="G3" s="1">
        <f t="shared" ref="G3:G20" si="0">E3-D3</f>
        <v>1.1585648148148164E-2</v>
      </c>
    </row>
    <row r="4" spans="1:7" ht="14.65" thickBot="1" x14ac:dyDescent="0.5">
      <c r="A4" s="4">
        <v>3</v>
      </c>
      <c r="B4" s="5">
        <v>0.40258101851851852</v>
      </c>
      <c r="C4" s="5">
        <v>0.40258101851851852</v>
      </c>
      <c r="D4" s="5">
        <v>0.40696759259259258</v>
      </c>
      <c r="E4" s="5">
        <v>0.42635416666666665</v>
      </c>
      <c r="F4" s="5">
        <v>0.43356481481481479</v>
      </c>
      <c r="G4" s="1">
        <f t="shared" si="0"/>
        <v>1.938657407407407E-2</v>
      </c>
    </row>
    <row r="5" spans="1:7" ht="14.65" thickBot="1" x14ac:dyDescent="0.5">
      <c r="A5" s="4">
        <v>4</v>
      </c>
      <c r="B5" s="5">
        <v>0.40598379629629627</v>
      </c>
      <c r="C5" s="5">
        <v>0.40696759259259258</v>
      </c>
      <c r="D5" s="5">
        <v>0.40899305555555554</v>
      </c>
      <c r="E5" s="5">
        <v>0.43356481481481479</v>
      </c>
      <c r="F5" s="5">
        <v>0.45041666666666669</v>
      </c>
      <c r="G5" s="1">
        <f t="shared" si="0"/>
        <v>2.4571759259259252E-2</v>
      </c>
    </row>
    <row r="6" spans="1:7" ht="14.65" thickBot="1" x14ac:dyDescent="0.5">
      <c r="A6" s="4">
        <v>5</v>
      </c>
      <c r="B6" s="5">
        <v>0.43679398148148146</v>
      </c>
      <c r="C6" s="5">
        <v>0.43679398148148146</v>
      </c>
      <c r="D6" s="5">
        <v>0.44186342592592592</v>
      </c>
      <c r="E6" s="5">
        <v>0.45041666666666669</v>
      </c>
      <c r="F6" s="5">
        <v>0.45840277777777777</v>
      </c>
      <c r="G6" s="1">
        <f t="shared" si="0"/>
        <v>8.553240740740764E-3</v>
      </c>
    </row>
    <row r="7" spans="1:7" ht="14.65" thickBot="1" x14ac:dyDescent="0.5">
      <c r="A7" s="4">
        <v>6</v>
      </c>
      <c r="B7" s="5">
        <v>0.44410879629629629</v>
      </c>
      <c r="C7" s="5">
        <v>0.44410879629629629</v>
      </c>
      <c r="D7" s="5">
        <v>0.45050925925925928</v>
      </c>
      <c r="E7" s="5">
        <v>0.45840277777777777</v>
      </c>
      <c r="F7" s="5">
        <v>0.47890046296296296</v>
      </c>
      <c r="G7" s="1">
        <f t="shared" si="0"/>
        <v>7.8935185185184942E-3</v>
      </c>
    </row>
    <row r="8" spans="1:7" ht="14.65" thickBot="1" x14ac:dyDescent="0.5">
      <c r="A8" s="4">
        <v>7</v>
      </c>
      <c r="B8" s="5">
        <v>0.45708333333333334</v>
      </c>
      <c r="C8" s="5">
        <v>0.45708333333333334</v>
      </c>
      <c r="D8" s="5">
        <v>0.45943287037037039</v>
      </c>
      <c r="E8" s="5">
        <v>0.47890046296296296</v>
      </c>
      <c r="F8" s="5">
        <v>0.48378472222222224</v>
      </c>
      <c r="G8" s="1">
        <f t="shared" si="0"/>
        <v>1.9467592592592564E-2</v>
      </c>
    </row>
    <row r="9" spans="1:7" ht="14.65" thickBot="1" x14ac:dyDescent="0.5">
      <c r="A9" s="4">
        <v>8</v>
      </c>
      <c r="B9" s="5">
        <v>0.45844907407407409</v>
      </c>
      <c r="C9" s="5">
        <v>0.45943287037037039</v>
      </c>
      <c r="D9" s="5">
        <v>0.46516203703703701</v>
      </c>
      <c r="E9" s="5">
        <v>0.48378472222222224</v>
      </c>
      <c r="F9" s="5">
        <v>0.51128472222222221</v>
      </c>
      <c r="G9" s="1">
        <f t="shared" si="0"/>
        <v>1.8622685185185228E-2</v>
      </c>
    </row>
    <row r="10" spans="1:7" ht="14.65" thickBot="1" x14ac:dyDescent="0.5">
      <c r="A10" s="4">
        <v>9</v>
      </c>
      <c r="B10" s="5">
        <v>0.48826388888888889</v>
      </c>
      <c r="C10" s="5">
        <v>0.48826388888888889</v>
      </c>
      <c r="D10" s="5">
        <v>0.48962962962962964</v>
      </c>
      <c r="E10" s="5">
        <v>0.51128472222222221</v>
      </c>
      <c r="F10" s="5">
        <v>0.52439814814814811</v>
      </c>
      <c r="G10" s="1">
        <f t="shared" si="0"/>
        <v>2.1655092592592573E-2</v>
      </c>
    </row>
    <row r="11" spans="1:7" ht="14.65" thickBot="1" x14ac:dyDescent="0.5">
      <c r="A11" s="4">
        <v>10</v>
      </c>
      <c r="B11" s="5">
        <v>0.4914351851851852</v>
      </c>
      <c r="C11" s="5">
        <v>0.4914351851851852</v>
      </c>
      <c r="D11" s="5">
        <v>0.49501157407407409</v>
      </c>
      <c r="E11" s="5">
        <v>0.52439814814814811</v>
      </c>
      <c r="F11" s="5">
        <v>0.52668981481481481</v>
      </c>
      <c r="G11" s="1">
        <f t="shared" si="0"/>
        <v>2.9386574074074023E-2</v>
      </c>
    </row>
    <row r="12" spans="1:7" ht="14.65" thickBot="1" x14ac:dyDescent="0.5">
      <c r="A12" s="4">
        <v>11</v>
      </c>
      <c r="B12" s="5">
        <v>0.50059027777777776</v>
      </c>
      <c r="C12" s="5">
        <v>0.50059027777777776</v>
      </c>
      <c r="D12" s="5">
        <v>0.50689814814814815</v>
      </c>
      <c r="E12" s="5">
        <v>0.52668981481481481</v>
      </c>
      <c r="F12" s="5">
        <v>0.54609953703703706</v>
      </c>
      <c r="G12" s="1">
        <f t="shared" si="0"/>
        <v>1.9791666666666652E-2</v>
      </c>
    </row>
    <row r="13" spans="1:7" ht="14.65" thickBot="1" x14ac:dyDescent="0.5">
      <c r="A13" s="4">
        <v>12</v>
      </c>
      <c r="B13" s="5">
        <v>0.51467592592592593</v>
      </c>
      <c r="C13" s="5">
        <v>0.51467592592592593</v>
      </c>
      <c r="D13" s="5">
        <v>0.51875000000000004</v>
      </c>
      <c r="E13" s="5">
        <v>0.54609953703703706</v>
      </c>
      <c r="F13" s="5">
        <v>0.56214120370370368</v>
      </c>
      <c r="G13" s="1">
        <f t="shared" si="0"/>
        <v>2.7349537037037019E-2</v>
      </c>
    </row>
    <row r="14" spans="1:7" ht="14.65" thickBot="1" x14ac:dyDescent="0.5">
      <c r="A14" s="4">
        <v>13</v>
      </c>
      <c r="B14" s="5">
        <v>0.53160879629629632</v>
      </c>
      <c r="C14" s="5">
        <v>0.53160879629629632</v>
      </c>
      <c r="D14" s="5">
        <v>0.53203703703703709</v>
      </c>
      <c r="E14" s="5">
        <v>0.56214120370370368</v>
      </c>
      <c r="F14" s="5">
        <v>0.5639467592592593</v>
      </c>
      <c r="G14" s="1">
        <f t="shared" si="0"/>
        <v>3.0104166666666599E-2</v>
      </c>
    </row>
    <row r="15" spans="1:7" ht="14.65" thickBot="1" x14ac:dyDescent="0.5">
      <c r="A15" s="4">
        <v>14</v>
      </c>
      <c r="B15" s="5">
        <v>0.56351851851851853</v>
      </c>
      <c r="C15" s="5">
        <v>0.56351851851851853</v>
      </c>
      <c r="D15" s="5">
        <v>0.56732638888888887</v>
      </c>
      <c r="E15" s="5">
        <v>0.56732638888888887</v>
      </c>
      <c r="F15" s="5">
        <v>0.59312500000000001</v>
      </c>
      <c r="G15" s="1">
        <f t="shared" si="0"/>
        <v>0</v>
      </c>
    </row>
    <row r="16" spans="1:7" ht="14.65" thickBot="1" x14ac:dyDescent="0.5">
      <c r="A16" s="4">
        <v>15</v>
      </c>
      <c r="B16" s="5">
        <v>0.56773148148148145</v>
      </c>
      <c r="C16" s="5">
        <v>0.56773148148148145</v>
      </c>
      <c r="D16" s="5">
        <v>0.56812499999999999</v>
      </c>
      <c r="E16" s="5">
        <v>0.59312500000000001</v>
      </c>
      <c r="F16" s="5">
        <v>0.60974537037037035</v>
      </c>
      <c r="G16" s="1">
        <f t="shared" si="0"/>
        <v>2.5000000000000022E-2</v>
      </c>
    </row>
    <row r="17" spans="1:7" ht="14.65" thickBot="1" x14ac:dyDescent="0.5">
      <c r="A17" s="4">
        <v>16</v>
      </c>
      <c r="B17" s="5">
        <v>0.58703703703703702</v>
      </c>
      <c r="C17" s="5">
        <v>0.58703703703703702</v>
      </c>
      <c r="D17" s="5">
        <v>0.59266203703703701</v>
      </c>
      <c r="E17" s="5">
        <v>0.60974537037037035</v>
      </c>
      <c r="F17" s="5">
        <v>0.63170138888888894</v>
      </c>
      <c r="G17" s="1">
        <f t="shared" si="0"/>
        <v>1.7083333333333339E-2</v>
      </c>
    </row>
    <row r="18" spans="1:7" ht="14.65" thickBot="1" x14ac:dyDescent="0.5">
      <c r="A18" s="4">
        <v>17</v>
      </c>
      <c r="B18" s="5">
        <v>0.59445601851851848</v>
      </c>
      <c r="C18" s="5">
        <v>0.59445601851851848</v>
      </c>
      <c r="D18" s="5">
        <v>0.59710648148148149</v>
      </c>
      <c r="E18" s="5">
        <v>0.63170138888888894</v>
      </c>
      <c r="F18" s="5">
        <v>0.63318287037037035</v>
      </c>
      <c r="G18" s="1">
        <f t="shared" si="0"/>
        <v>3.4594907407407449E-2</v>
      </c>
    </row>
    <row r="19" spans="1:7" ht="14.65" thickBot="1" x14ac:dyDescent="0.5">
      <c r="A19" s="4">
        <v>18</v>
      </c>
      <c r="B19" s="5">
        <v>0.60162037037037042</v>
      </c>
      <c r="C19" s="5">
        <v>0.60162037037037042</v>
      </c>
      <c r="D19" s="5">
        <v>0.60603009259259255</v>
      </c>
      <c r="E19" s="5">
        <v>0.63318287037037035</v>
      </c>
      <c r="F19" s="5">
        <v>0.65238425925925925</v>
      </c>
      <c r="G19" s="1">
        <f t="shared" si="0"/>
        <v>2.7152777777777803E-2</v>
      </c>
    </row>
    <row r="20" spans="1:7" ht="14.65" thickBot="1" x14ac:dyDescent="0.5">
      <c r="A20" s="4">
        <v>19</v>
      </c>
      <c r="B20" s="5">
        <v>0.61799768518518516</v>
      </c>
      <c r="C20" s="5">
        <v>0.61799768518518516</v>
      </c>
      <c r="D20" s="5">
        <v>0.62445601851851851</v>
      </c>
      <c r="E20" s="5">
        <v>0.65238425925925925</v>
      </c>
      <c r="F20" s="5">
        <v>0.65406249999999999</v>
      </c>
      <c r="G20" s="1">
        <f t="shared" si="0"/>
        <v>2.792824074074074E-2</v>
      </c>
    </row>
    <row r="22" spans="1:7" x14ac:dyDescent="0.45">
      <c r="G22" s="1">
        <f>AVERAGE(G2:G20)</f>
        <v>1.9480384990253407E-2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ECC4-9EBC-431C-91B8-BAD755E11DC8}">
  <dimension ref="A1:I21"/>
  <sheetViews>
    <sheetView workbookViewId="0">
      <selection activeCell="E2" sqref="D2:E2"/>
    </sheetView>
  </sheetViews>
  <sheetFormatPr defaultRowHeight="14.25" x14ac:dyDescent="0.45"/>
  <cols>
    <col min="6" max="6" width="10.3984375" customWidth="1"/>
  </cols>
  <sheetData>
    <row r="1" spans="1:9" ht="43.15" thickBot="1" x14ac:dyDescent="0.5">
      <c r="A1" s="3" t="s">
        <v>12</v>
      </c>
      <c r="B1" s="3" t="s">
        <v>13</v>
      </c>
      <c r="C1" s="3" t="s">
        <v>14</v>
      </c>
      <c r="D1" s="3" t="s">
        <v>15</v>
      </c>
      <c r="E1" s="3" t="s">
        <v>5</v>
      </c>
      <c r="F1" s="3" t="s">
        <v>16</v>
      </c>
      <c r="G1" s="6" t="s">
        <v>18</v>
      </c>
      <c r="H1" s="6" t="s">
        <v>20</v>
      </c>
      <c r="I1" s="6" t="s">
        <v>21</v>
      </c>
    </row>
    <row r="2" spans="1:9" ht="14.65" thickBot="1" x14ac:dyDescent="0.5">
      <c r="A2" s="4">
        <v>1</v>
      </c>
      <c r="B2" s="5">
        <v>0.38115740740740739</v>
      </c>
      <c r="C2" s="5">
        <v>0.38115740740740739</v>
      </c>
      <c r="D2" s="5">
        <v>0.39068287037037036</v>
      </c>
      <c r="E2" s="5">
        <v>0.39068287037037036</v>
      </c>
      <c r="F2" s="5">
        <v>0.40763888888888888</v>
      </c>
      <c r="G2" s="1">
        <f>D2-C2</f>
        <v>9.5254629629629717E-3</v>
      </c>
      <c r="H2" s="1">
        <f>F2-E2</f>
        <v>1.6956018518518523E-2</v>
      </c>
      <c r="I2" s="1">
        <f>E2-D2</f>
        <v>0</v>
      </c>
    </row>
    <row r="3" spans="1:9" ht="14.65" thickBot="1" x14ac:dyDescent="0.5">
      <c r="A3" s="4">
        <v>2</v>
      </c>
      <c r="B3" s="5">
        <v>0.38831018518518517</v>
      </c>
      <c r="C3" s="5">
        <v>0.39068287037037036</v>
      </c>
      <c r="D3" s="5">
        <v>0.39211805555555557</v>
      </c>
      <c r="E3" s="5">
        <v>0.40763888888888888</v>
      </c>
      <c r="F3" s="5">
        <v>0.42464120370370373</v>
      </c>
      <c r="G3" s="1">
        <f t="shared" ref="G3:G20" si="0">D3-C3</f>
        <v>1.435185185185206E-3</v>
      </c>
      <c r="H3" s="1">
        <f t="shared" ref="H3:H20" si="1">F3-E3</f>
        <v>1.7002314814814845E-2</v>
      </c>
      <c r="I3" s="1">
        <f t="shared" ref="I3:I20" si="2">E3-D3</f>
        <v>1.5520833333333317E-2</v>
      </c>
    </row>
    <row r="4" spans="1:9" ht="14.65" thickBot="1" x14ac:dyDescent="0.5">
      <c r="A4" s="4">
        <v>3</v>
      </c>
      <c r="B4" s="5">
        <v>0.40196759259259257</v>
      </c>
      <c r="C4" s="5">
        <v>0.4079861111111111</v>
      </c>
      <c r="D4" s="5">
        <v>0.41136574074074073</v>
      </c>
      <c r="E4" s="5">
        <v>0.42464120370370373</v>
      </c>
      <c r="F4" s="5">
        <v>0.44219907407407405</v>
      </c>
      <c r="G4" s="1">
        <f t="shared" si="0"/>
        <v>3.3796296296296213E-3</v>
      </c>
      <c r="H4" s="1">
        <f t="shared" si="1"/>
        <v>1.7557870370370321E-2</v>
      </c>
      <c r="I4" s="1">
        <f t="shared" si="2"/>
        <v>1.3275462962963003E-2</v>
      </c>
    </row>
    <row r="5" spans="1:9" ht="14.65" thickBot="1" x14ac:dyDescent="0.5">
      <c r="A5" s="4">
        <v>4</v>
      </c>
      <c r="B5" s="5">
        <v>0.42054398148148148</v>
      </c>
      <c r="C5" s="5">
        <v>0.42505787037037035</v>
      </c>
      <c r="D5" s="5">
        <v>0.43049768518518516</v>
      </c>
      <c r="E5" s="5">
        <v>0.44219907407407405</v>
      </c>
      <c r="F5" s="5">
        <v>0.45228009259259261</v>
      </c>
      <c r="G5" s="1">
        <f t="shared" si="0"/>
        <v>5.439814814814814E-3</v>
      </c>
      <c r="H5" s="1">
        <f t="shared" si="1"/>
        <v>1.0081018518518559E-2</v>
      </c>
      <c r="I5" s="1">
        <f t="shared" si="2"/>
        <v>1.1701388888888886E-2</v>
      </c>
    </row>
    <row r="6" spans="1:9" ht="14.65" thickBot="1" x14ac:dyDescent="0.5">
      <c r="A6" s="4">
        <v>5</v>
      </c>
      <c r="B6" s="5">
        <v>0.42922453703703706</v>
      </c>
      <c r="C6" s="5">
        <v>0.44224537037037037</v>
      </c>
      <c r="D6" s="5">
        <v>0.45068287037037036</v>
      </c>
      <c r="E6" s="5">
        <v>0.45228009259259261</v>
      </c>
      <c r="F6" s="5">
        <v>0.46283564814814815</v>
      </c>
      <c r="G6" s="1">
        <f t="shared" si="0"/>
        <v>8.4374999999999867E-3</v>
      </c>
      <c r="H6" s="1">
        <f t="shared" si="1"/>
        <v>1.055555555555554E-2</v>
      </c>
      <c r="I6" s="1">
        <f t="shared" si="2"/>
        <v>1.5972222222222499E-3</v>
      </c>
    </row>
    <row r="7" spans="1:9" ht="14.65" thickBot="1" x14ac:dyDescent="0.5">
      <c r="A7" s="4">
        <v>6</v>
      </c>
      <c r="B7" s="5">
        <v>0.44091435185185185</v>
      </c>
      <c r="C7" s="5">
        <v>0.45068287037037036</v>
      </c>
      <c r="D7" s="5">
        <v>0.45197916666666665</v>
      </c>
      <c r="E7" s="5">
        <v>0.46283564814814815</v>
      </c>
      <c r="F7" s="5">
        <v>0.47908564814814814</v>
      </c>
      <c r="G7" s="1">
        <f t="shared" si="0"/>
        <v>1.2962962962962954E-3</v>
      </c>
      <c r="H7" s="1">
        <f t="shared" si="1"/>
        <v>1.6249999999999987E-2</v>
      </c>
      <c r="I7" s="1">
        <f t="shared" si="2"/>
        <v>1.0856481481481495E-2</v>
      </c>
    </row>
    <row r="8" spans="1:9" ht="14.65" thickBot="1" x14ac:dyDescent="0.5">
      <c r="A8" s="4">
        <v>7</v>
      </c>
      <c r="B8" s="5">
        <v>0.46158564814814818</v>
      </c>
      <c r="C8" s="5">
        <v>0.46322916666666669</v>
      </c>
      <c r="D8" s="5">
        <v>0.46508101851851852</v>
      </c>
      <c r="E8" s="5">
        <v>0.47908564814814814</v>
      </c>
      <c r="F8" s="5">
        <v>0.50127314814814816</v>
      </c>
      <c r="G8" s="1">
        <f t="shared" si="0"/>
        <v>1.8518518518518268E-3</v>
      </c>
      <c r="H8" s="1">
        <f t="shared" si="1"/>
        <v>2.2187500000000027E-2</v>
      </c>
      <c r="I8" s="1">
        <f t="shared" si="2"/>
        <v>1.4004629629629617E-2</v>
      </c>
    </row>
    <row r="9" spans="1:9" ht="14.65" thickBot="1" x14ac:dyDescent="0.5">
      <c r="A9" s="4">
        <v>8</v>
      </c>
      <c r="B9" s="5">
        <v>0.46626157407407409</v>
      </c>
      <c r="C9" s="5">
        <v>0.46968749999999998</v>
      </c>
      <c r="D9" s="5">
        <v>0.4752662037037037</v>
      </c>
      <c r="E9" s="5">
        <v>0.50127314814814816</v>
      </c>
      <c r="F9" s="5">
        <v>0.50771990740740736</v>
      </c>
      <c r="G9" s="1">
        <f t="shared" si="0"/>
        <v>5.5787037037037246E-3</v>
      </c>
      <c r="H9" s="1">
        <f t="shared" si="1"/>
        <v>6.4467592592591938E-3</v>
      </c>
      <c r="I9" s="1">
        <f t="shared" si="2"/>
        <v>2.6006944444444458E-2</v>
      </c>
    </row>
    <row r="10" spans="1:9" ht="14.65" thickBot="1" x14ac:dyDescent="0.5">
      <c r="A10" s="4">
        <v>9</v>
      </c>
      <c r="B10" s="5">
        <v>0.48061342592592593</v>
      </c>
      <c r="C10" s="5">
        <v>0.49103009259259262</v>
      </c>
      <c r="D10" s="5">
        <v>0.49622685185185184</v>
      </c>
      <c r="E10" s="5">
        <v>0.50771990740740736</v>
      </c>
      <c r="F10" s="5">
        <v>0.52751157407407412</v>
      </c>
      <c r="G10" s="1">
        <f t="shared" si="0"/>
        <v>5.1967592592592204E-3</v>
      </c>
      <c r="H10" s="1">
        <f t="shared" si="1"/>
        <v>1.9791666666666763E-2</v>
      </c>
      <c r="I10" s="1">
        <f t="shared" si="2"/>
        <v>1.149305555555552E-2</v>
      </c>
    </row>
    <row r="11" spans="1:9" ht="14.65" thickBot="1" x14ac:dyDescent="0.5">
      <c r="A11" s="4">
        <v>10</v>
      </c>
      <c r="B11" s="5">
        <v>0.49716435185185187</v>
      </c>
      <c r="C11" s="5">
        <v>0.50268518518518523</v>
      </c>
      <c r="D11" s="5">
        <v>0.50946759259259256</v>
      </c>
      <c r="E11" s="5">
        <v>0.52751157407407412</v>
      </c>
      <c r="F11" s="5">
        <v>0.5396643518518518</v>
      </c>
      <c r="G11" s="1">
        <f t="shared" si="0"/>
        <v>6.7824074074073204E-3</v>
      </c>
      <c r="H11" s="1">
        <f t="shared" si="1"/>
        <v>1.2152777777777679E-2</v>
      </c>
      <c r="I11" s="1">
        <f t="shared" si="2"/>
        <v>1.8043981481481564E-2</v>
      </c>
    </row>
    <row r="12" spans="1:9" ht="14.65" thickBot="1" x14ac:dyDescent="0.5">
      <c r="A12" s="4">
        <v>11</v>
      </c>
      <c r="B12" s="5">
        <v>0.51857638888888891</v>
      </c>
      <c r="C12" s="5">
        <v>0.51857638888888891</v>
      </c>
      <c r="D12" s="5">
        <v>0.52688657407407402</v>
      </c>
      <c r="E12" s="5">
        <v>0.5396643518518518</v>
      </c>
      <c r="F12" s="5">
        <v>0.55965277777777778</v>
      </c>
      <c r="G12" s="1">
        <f t="shared" si="0"/>
        <v>8.310185185185115E-3</v>
      </c>
      <c r="H12" s="1">
        <f t="shared" si="1"/>
        <v>1.9988425925925979E-2</v>
      </c>
      <c r="I12" s="1">
        <f t="shared" si="2"/>
        <v>1.2777777777777777E-2</v>
      </c>
    </row>
    <row r="13" spans="1:9" ht="14.65" thickBot="1" x14ac:dyDescent="0.5">
      <c r="A13" s="4">
        <v>12</v>
      </c>
      <c r="B13" s="5">
        <v>0.52490740740740738</v>
      </c>
      <c r="C13" s="5">
        <v>0.53495370370370365</v>
      </c>
      <c r="D13" s="5">
        <v>0.54194444444444445</v>
      </c>
      <c r="E13" s="5">
        <v>0.55965277777777778</v>
      </c>
      <c r="F13" s="5">
        <v>0.57767361111111115</v>
      </c>
      <c r="G13" s="1">
        <f t="shared" si="0"/>
        <v>6.9907407407407973E-3</v>
      </c>
      <c r="H13" s="1">
        <f t="shared" si="1"/>
        <v>1.8020833333333375E-2</v>
      </c>
      <c r="I13" s="1">
        <f t="shared" si="2"/>
        <v>1.7708333333333326E-2</v>
      </c>
    </row>
    <row r="14" spans="1:9" ht="14.65" thickBot="1" x14ac:dyDescent="0.5">
      <c r="A14" s="4">
        <v>13</v>
      </c>
      <c r="B14" s="5">
        <v>0.54342592592592598</v>
      </c>
      <c r="C14" s="5">
        <v>0.55387731481481484</v>
      </c>
      <c r="D14" s="5">
        <v>0.562962962962963</v>
      </c>
      <c r="E14" s="5">
        <v>0.57767361111111115</v>
      </c>
      <c r="F14" s="5">
        <v>0.58303240740740736</v>
      </c>
      <c r="G14" s="1">
        <f t="shared" si="0"/>
        <v>9.0856481481481621E-3</v>
      </c>
      <c r="H14" s="1">
        <f t="shared" si="1"/>
        <v>5.3587962962962088E-3</v>
      </c>
      <c r="I14" s="1">
        <f t="shared" si="2"/>
        <v>1.4710648148148153E-2</v>
      </c>
    </row>
    <row r="15" spans="1:9" ht="14.65" thickBot="1" x14ac:dyDescent="0.5">
      <c r="A15" s="4">
        <v>14</v>
      </c>
      <c r="B15" s="5">
        <v>0.55517361111111108</v>
      </c>
      <c r="C15" s="5">
        <v>0.562962962962963</v>
      </c>
      <c r="D15" s="5">
        <v>0.56643518518518521</v>
      </c>
      <c r="E15" s="5">
        <v>0.58303240740740736</v>
      </c>
      <c r="F15" s="5">
        <v>0.59108796296296295</v>
      </c>
      <c r="G15" s="1">
        <f t="shared" si="0"/>
        <v>3.4722222222222099E-3</v>
      </c>
      <c r="H15" s="1">
        <f t="shared" si="1"/>
        <v>8.0555555555555935E-3</v>
      </c>
      <c r="I15" s="1">
        <f t="shared" si="2"/>
        <v>1.6597222222222152E-2</v>
      </c>
    </row>
    <row r="16" spans="1:9" ht="14.65" thickBot="1" x14ac:dyDescent="0.5">
      <c r="A16" s="4">
        <v>15</v>
      </c>
      <c r="B16" s="5">
        <v>0.55884259259259261</v>
      </c>
      <c r="C16" s="5">
        <v>0.56944444444444442</v>
      </c>
      <c r="D16" s="5">
        <v>0.57800925925925928</v>
      </c>
      <c r="E16" s="5">
        <v>0.59108796296296295</v>
      </c>
      <c r="F16" s="5">
        <v>0.5972453703703704</v>
      </c>
      <c r="G16" s="1">
        <f t="shared" si="0"/>
        <v>8.5648148148148584E-3</v>
      </c>
      <c r="H16" s="1">
        <f t="shared" si="1"/>
        <v>6.1574074074074447E-3</v>
      </c>
      <c r="I16" s="1">
        <f t="shared" si="2"/>
        <v>1.3078703703703676E-2</v>
      </c>
    </row>
    <row r="17" spans="1:9" ht="14.65" thickBot="1" x14ac:dyDescent="0.5">
      <c r="A17" s="4">
        <v>16</v>
      </c>
      <c r="B17" s="5">
        <v>0.58287037037037037</v>
      </c>
      <c r="C17" s="5">
        <v>0.58975694444444449</v>
      </c>
      <c r="D17" s="5">
        <v>0.59350694444444441</v>
      </c>
      <c r="E17" s="5">
        <v>0.5972453703703704</v>
      </c>
      <c r="F17" s="5">
        <v>0.62230324074074073</v>
      </c>
      <c r="G17" s="1">
        <f t="shared" si="0"/>
        <v>3.7499999999999201E-3</v>
      </c>
      <c r="H17" s="1">
        <f t="shared" si="1"/>
        <v>2.5057870370370328E-2</v>
      </c>
      <c r="I17" s="1">
        <f t="shared" si="2"/>
        <v>3.7384259259259922E-3</v>
      </c>
    </row>
    <row r="18" spans="1:9" ht="14.65" thickBot="1" x14ac:dyDescent="0.5">
      <c r="A18" s="4">
        <v>17</v>
      </c>
      <c r="B18" s="5">
        <v>0.59927083333333331</v>
      </c>
      <c r="C18" s="5">
        <v>0.59927083333333331</v>
      </c>
      <c r="D18" s="5">
        <v>0.60454861111111113</v>
      </c>
      <c r="E18" s="5">
        <v>0.62230324074074073</v>
      </c>
      <c r="F18" s="5">
        <v>0.63197916666666665</v>
      </c>
      <c r="G18" s="1">
        <f t="shared" si="0"/>
        <v>5.2777777777778256E-3</v>
      </c>
      <c r="H18" s="1">
        <f t="shared" si="1"/>
        <v>9.6759259259259212E-3</v>
      </c>
      <c r="I18" s="1">
        <f t="shared" si="2"/>
        <v>1.7754629629629592E-2</v>
      </c>
    </row>
    <row r="19" spans="1:9" ht="14.65" thickBot="1" x14ac:dyDescent="0.5">
      <c r="A19" s="4">
        <v>18</v>
      </c>
      <c r="B19" s="5">
        <v>0.6039930555555556</v>
      </c>
      <c r="C19" s="5">
        <v>0.60454861111111113</v>
      </c>
      <c r="D19" s="5">
        <v>0.60825231481481479</v>
      </c>
      <c r="E19" s="5">
        <v>0.63197916666666665</v>
      </c>
      <c r="F19" s="5">
        <v>0.6550231481481481</v>
      </c>
      <c r="G19" s="1">
        <f t="shared" si="0"/>
        <v>3.7037037037036535E-3</v>
      </c>
      <c r="H19" s="1">
        <f t="shared" si="1"/>
        <v>2.3043981481481457E-2</v>
      </c>
      <c r="I19" s="1">
        <f t="shared" si="2"/>
        <v>2.372685185185186E-2</v>
      </c>
    </row>
    <row r="20" spans="1:9" ht="14.65" thickBot="1" x14ac:dyDescent="0.5">
      <c r="A20" s="4">
        <v>19</v>
      </c>
      <c r="B20" s="5">
        <v>0.63172453703703701</v>
      </c>
      <c r="C20" s="5">
        <v>0.63263888888888886</v>
      </c>
      <c r="D20" s="5">
        <v>0.64483796296296292</v>
      </c>
      <c r="E20" s="5">
        <v>0.6550231481481481</v>
      </c>
      <c r="F20" s="5">
        <v>0.66107638888888887</v>
      </c>
      <c r="G20" s="1">
        <f t="shared" si="0"/>
        <v>1.2199074074074057E-2</v>
      </c>
      <c r="H20" s="1">
        <f t="shared" si="1"/>
        <v>6.0532407407407618E-3</v>
      </c>
      <c r="I20" s="1">
        <f t="shared" si="2"/>
        <v>1.0185185185185186E-2</v>
      </c>
    </row>
    <row r="21" spans="1:9" x14ac:dyDescent="0.45">
      <c r="F21" t="s">
        <v>19</v>
      </c>
      <c r="G21" s="1">
        <f>AVERAGE(G2:G20)</f>
        <v>5.8040935672514522E-3</v>
      </c>
      <c r="H21" s="1">
        <f t="shared" ref="H21:I21" si="3">AVERAGE(H2:H20)</f>
        <v>1.4231237816764131E-2</v>
      </c>
      <c r="I21" s="7">
        <f t="shared" si="3"/>
        <v>1.3304093567251464E-2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4022-A75C-4C1D-BE76-6415BED6D914}">
  <dimension ref="A1:G22"/>
  <sheetViews>
    <sheetView workbookViewId="0">
      <selection activeCell="D35" sqref="D35"/>
    </sheetView>
  </sheetViews>
  <sheetFormatPr defaultRowHeight="14.25" x14ac:dyDescent="0.45"/>
  <cols>
    <col min="5" max="5" width="13.73046875" customWidth="1"/>
    <col min="6" max="6" width="14" customWidth="1"/>
    <col min="7" max="7" width="14.265625" customWidth="1"/>
  </cols>
  <sheetData>
    <row r="1" spans="1:7" ht="28.9" thickBot="1" x14ac:dyDescent="0.5">
      <c r="A1" s="3" t="s">
        <v>12</v>
      </c>
      <c r="B1" s="3" t="s">
        <v>13</v>
      </c>
      <c r="C1" s="3" t="s">
        <v>14</v>
      </c>
      <c r="D1" s="3" t="s">
        <v>15</v>
      </c>
      <c r="E1" s="3" t="s">
        <v>5</v>
      </c>
      <c r="F1" s="3" t="s">
        <v>16</v>
      </c>
    </row>
    <row r="2" spans="1:7" ht="14.65" thickBot="1" x14ac:dyDescent="0.5">
      <c r="A2" s="4">
        <v>1</v>
      </c>
      <c r="B2" s="5">
        <v>0.38115740740740739</v>
      </c>
      <c r="C2" s="5">
        <v>0.38115740740740739</v>
      </c>
      <c r="D2" s="5">
        <v>0.39068287037037036</v>
      </c>
      <c r="E2" s="5">
        <v>0.39068287037037036</v>
      </c>
      <c r="F2" s="5">
        <v>0.40763888888888888</v>
      </c>
      <c r="G2" s="1">
        <f>E2-D2</f>
        <v>0</v>
      </c>
    </row>
    <row r="3" spans="1:7" ht="14.65" thickBot="1" x14ac:dyDescent="0.5">
      <c r="A3" s="4">
        <v>2</v>
      </c>
      <c r="B3" s="5">
        <v>0.38831018518518517</v>
      </c>
      <c r="C3" s="5">
        <v>0.39068287037037036</v>
      </c>
      <c r="D3" s="5">
        <v>0.39211805555555557</v>
      </c>
      <c r="E3" s="5">
        <v>0.40763888888888888</v>
      </c>
      <c r="F3" s="5">
        <v>0.42464120370370373</v>
      </c>
      <c r="G3" s="1">
        <f t="shared" ref="G3:G19" si="0">E3-D3</f>
        <v>1.5520833333333317E-2</v>
      </c>
    </row>
    <row r="4" spans="1:7" ht="14.65" thickBot="1" x14ac:dyDescent="0.5">
      <c r="A4" s="4">
        <v>3</v>
      </c>
      <c r="B4" s="5">
        <v>0.40196759259259257</v>
      </c>
      <c r="C4" s="5">
        <v>0.4079861111111111</v>
      </c>
      <c r="D4" s="5">
        <v>0.41136574074074073</v>
      </c>
      <c r="E4" s="5">
        <v>0.42464120370370373</v>
      </c>
      <c r="F4" s="5">
        <v>0.44219907407407405</v>
      </c>
      <c r="G4" s="1">
        <f t="shared" si="0"/>
        <v>1.3275462962963003E-2</v>
      </c>
    </row>
    <row r="5" spans="1:7" ht="14.65" thickBot="1" x14ac:dyDescent="0.5">
      <c r="A5" s="4">
        <v>4</v>
      </c>
      <c r="B5" s="5">
        <v>0.42054398148148148</v>
      </c>
      <c r="C5" s="5">
        <v>0.42505787037037035</v>
      </c>
      <c r="D5" s="5">
        <v>0.43049768518518516</v>
      </c>
      <c r="E5" s="5">
        <v>0.44219907407407405</v>
      </c>
      <c r="F5" s="5">
        <v>0.45228009259259261</v>
      </c>
      <c r="G5" s="1">
        <f t="shared" si="0"/>
        <v>1.1701388888888886E-2</v>
      </c>
    </row>
    <row r="6" spans="1:7" ht="14.65" thickBot="1" x14ac:dyDescent="0.5">
      <c r="A6" s="4">
        <v>5</v>
      </c>
      <c r="B6" s="5">
        <v>0.42922453703703706</v>
      </c>
      <c r="C6" s="5">
        <v>0.44224537037037037</v>
      </c>
      <c r="D6" s="5">
        <v>0.45068287037037036</v>
      </c>
      <c r="E6" s="5">
        <v>0.45228009259259261</v>
      </c>
      <c r="F6" s="5">
        <v>0.46283564814814815</v>
      </c>
      <c r="G6" s="1">
        <f t="shared" si="0"/>
        <v>1.5972222222222499E-3</v>
      </c>
    </row>
    <row r="7" spans="1:7" ht="14.65" thickBot="1" x14ac:dyDescent="0.5">
      <c r="A7" s="4">
        <v>6</v>
      </c>
      <c r="B7" s="5">
        <v>0.44091435185185185</v>
      </c>
      <c r="C7" s="5">
        <v>0.45068287037037036</v>
      </c>
      <c r="D7" s="5">
        <v>0.45197916666666665</v>
      </c>
      <c r="E7" s="5">
        <v>0.46283564814814815</v>
      </c>
      <c r="F7" s="5">
        <v>0.47908564814814814</v>
      </c>
      <c r="G7" s="1">
        <f t="shared" si="0"/>
        <v>1.0856481481481495E-2</v>
      </c>
    </row>
    <row r="8" spans="1:7" ht="14.65" thickBot="1" x14ac:dyDescent="0.5">
      <c r="A8" s="4">
        <v>7</v>
      </c>
      <c r="B8" s="5">
        <v>0.46158564814814818</v>
      </c>
      <c r="C8" s="5">
        <v>0.46322916666666669</v>
      </c>
      <c r="D8" s="5">
        <v>0.46508101851851852</v>
      </c>
      <c r="E8" s="5">
        <v>0.47908564814814814</v>
      </c>
      <c r="F8" s="5">
        <v>0.50127314814814816</v>
      </c>
      <c r="G8" s="1">
        <f t="shared" si="0"/>
        <v>1.4004629629629617E-2</v>
      </c>
    </row>
    <row r="9" spans="1:7" ht="14.65" thickBot="1" x14ac:dyDescent="0.5">
      <c r="A9" s="4">
        <v>8</v>
      </c>
      <c r="B9" s="5">
        <v>0.46626157407407409</v>
      </c>
      <c r="C9" s="5">
        <v>0.46968749999999998</v>
      </c>
      <c r="D9" s="5">
        <v>0.4752662037037037</v>
      </c>
      <c r="E9" s="5">
        <v>0.50127314814814816</v>
      </c>
      <c r="F9" s="5">
        <v>0.50771990740740736</v>
      </c>
      <c r="G9" s="1">
        <f t="shared" si="0"/>
        <v>2.6006944444444458E-2</v>
      </c>
    </row>
    <row r="10" spans="1:7" ht="14.65" thickBot="1" x14ac:dyDescent="0.5">
      <c r="A10" s="4">
        <v>9</v>
      </c>
      <c r="B10" s="5">
        <v>0.48061342592592593</v>
      </c>
      <c r="C10" s="5">
        <v>0.49103009259259262</v>
      </c>
      <c r="D10" s="5">
        <v>0.49622685185185184</v>
      </c>
      <c r="E10" s="5">
        <v>0.50771990740740736</v>
      </c>
      <c r="F10" s="5">
        <v>0.52751157407407412</v>
      </c>
      <c r="G10" s="1">
        <f t="shared" si="0"/>
        <v>1.149305555555552E-2</v>
      </c>
    </row>
    <row r="11" spans="1:7" ht="14.65" thickBot="1" x14ac:dyDescent="0.5">
      <c r="A11" s="4">
        <v>10</v>
      </c>
      <c r="B11" s="5">
        <v>0.49716435185185187</v>
      </c>
      <c r="C11" s="5">
        <v>0.50268518518518523</v>
      </c>
      <c r="D11" s="5">
        <v>0.50946759259259256</v>
      </c>
      <c r="E11" s="5">
        <v>0.52751157407407412</v>
      </c>
      <c r="F11" s="5">
        <v>0.5396643518518518</v>
      </c>
      <c r="G11" s="1">
        <f t="shared" si="0"/>
        <v>1.8043981481481564E-2</v>
      </c>
    </row>
    <row r="12" spans="1:7" ht="14.65" thickBot="1" x14ac:dyDescent="0.5">
      <c r="A12" s="4">
        <v>11</v>
      </c>
      <c r="B12" s="5">
        <v>0.51857638888888891</v>
      </c>
      <c r="C12" s="5">
        <v>0.51857638888888891</v>
      </c>
      <c r="D12" s="5">
        <v>0.52688657407407402</v>
      </c>
      <c r="E12" s="5">
        <v>0.5396643518518518</v>
      </c>
      <c r="F12" s="5">
        <v>0.55965277777777778</v>
      </c>
      <c r="G12" s="1">
        <f t="shared" si="0"/>
        <v>1.2777777777777777E-2</v>
      </c>
    </row>
    <row r="13" spans="1:7" ht="14.65" thickBot="1" x14ac:dyDescent="0.5">
      <c r="A13" s="4">
        <v>12</v>
      </c>
      <c r="B13" s="5">
        <v>0.52490740740740738</v>
      </c>
      <c r="C13" s="5">
        <v>0.53495370370370365</v>
      </c>
      <c r="D13" s="5">
        <v>0.54194444444444445</v>
      </c>
      <c r="E13" s="5">
        <v>0.55965277777777778</v>
      </c>
      <c r="F13" s="5">
        <v>0.57767361111111115</v>
      </c>
      <c r="G13" s="1">
        <f t="shared" si="0"/>
        <v>1.7708333333333326E-2</v>
      </c>
    </row>
    <row r="14" spans="1:7" ht="14.65" thickBot="1" x14ac:dyDescent="0.5">
      <c r="A14" s="4">
        <v>13</v>
      </c>
      <c r="B14" s="5">
        <v>0.54342592592592598</v>
      </c>
      <c r="C14" s="5">
        <v>0.55387731481481484</v>
      </c>
      <c r="D14" s="5">
        <v>0.562962962962963</v>
      </c>
      <c r="E14" s="5">
        <v>0.57767361111111115</v>
      </c>
      <c r="F14" s="5">
        <v>0.58303240740740736</v>
      </c>
      <c r="G14" s="1">
        <f t="shared" si="0"/>
        <v>1.4710648148148153E-2</v>
      </c>
    </row>
    <row r="15" spans="1:7" ht="14.65" thickBot="1" x14ac:dyDescent="0.5">
      <c r="A15" s="4">
        <v>14</v>
      </c>
      <c r="B15" s="5">
        <v>0.55517361111111108</v>
      </c>
      <c r="C15" s="5">
        <v>0.562962962962963</v>
      </c>
      <c r="D15" s="5">
        <v>0.56643518518518521</v>
      </c>
      <c r="E15" s="5">
        <v>0.58303240740740736</v>
      </c>
      <c r="F15" s="5">
        <v>0.59108796296296295</v>
      </c>
      <c r="G15" s="1">
        <f t="shared" si="0"/>
        <v>1.6597222222222152E-2</v>
      </c>
    </row>
    <row r="16" spans="1:7" ht="14.65" thickBot="1" x14ac:dyDescent="0.5">
      <c r="A16" s="4">
        <v>15</v>
      </c>
      <c r="B16" s="5">
        <v>0.55884259259259261</v>
      </c>
      <c r="C16" s="5">
        <v>0.56944444444444442</v>
      </c>
      <c r="D16" s="5">
        <v>0.57800925925925928</v>
      </c>
      <c r="E16" s="5">
        <v>0.59108796296296295</v>
      </c>
      <c r="F16" s="5">
        <v>0.5972453703703704</v>
      </c>
      <c r="G16" s="1">
        <f t="shared" si="0"/>
        <v>1.3078703703703676E-2</v>
      </c>
    </row>
    <row r="17" spans="1:7" ht="14.65" thickBot="1" x14ac:dyDescent="0.5">
      <c r="A17" s="4">
        <v>16</v>
      </c>
      <c r="B17" s="5">
        <v>0.58287037037037037</v>
      </c>
      <c r="C17" s="5">
        <v>0.58975694444444449</v>
      </c>
      <c r="D17" s="5">
        <v>0.59350694444444441</v>
      </c>
      <c r="E17" s="5">
        <v>0.5972453703703704</v>
      </c>
      <c r="F17" s="5">
        <v>0.62230324074074073</v>
      </c>
      <c r="G17" s="1">
        <f t="shared" si="0"/>
        <v>3.7384259259259922E-3</v>
      </c>
    </row>
    <row r="18" spans="1:7" ht="14.65" thickBot="1" x14ac:dyDescent="0.5">
      <c r="A18" s="4">
        <v>17</v>
      </c>
      <c r="B18" s="5">
        <v>0.59927083333333331</v>
      </c>
      <c r="C18" s="5">
        <v>0.59927083333333331</v>
      </c>
      <c r="D18" s="5">
        <v>0.60454861111111113</v>
      </c>
      <c r="E18" s="5">
        <v>0.62230324074074073</v>
      </c>
      <c r="F18" s="5">
        <v>0.63197916666666665</v>
      </c>
      <c r="G18" s="1">
        <f t="shared" si="0"/>
        <v>1.7754629629629592E-2</v>
      </c>
    </row>
    <row r="19" spans="1:7" ht="14.65" thickBot="1" x14ac:dyDescent="0.5">
      <c r="A19" s="4">
        <v>18</v>
      </c>
      <c r="B19" s="5">
        <v>0.6039930555555556</v>
      </c>
      <c r="C19" s="5">
        <v>0.60454861111111113</v>
      </c>
      <c r="D19" s="5">
        <v>0.60825231481481479</v>
      </c>
      <c r="E19" s="5">
        <v>0.63197916666666665</v>
      </c>
      <c r="F19" s="5">
        <v>0.6550231481481481</v>
      </c>
      <c r="G19" s="1">
        <f t="shared" si="0"/>
        <v>2.372685185185186E-2</v>
      </c>
    </row>
    <row r="20" spans="1:7" ht="14.65" thickBot="1" x14ac:dyDescent="0.5">
      <c r="A20" s="4">
        <v>19</v>
      </c>
      <c r="B20" s="5">
        <v>0.63172453703703701</v>
      </c>
      <c r="C20" s="5">
        <v>0.63263888888888886</v>
      </c>
      <c r="D20" s="5">
        <v>0.64483796296296292</v>
      </c>
      <c r="E20" s="5">
        <v>0.6550231481481481</v>
      </c>
      <c r="F20" s="5">
        <v>0.66107638888888887</v>
      </c>
      <c r="G20" s="1">
        <f>E20-D20</f>
        <v>1.0185185185185186E-2</v>
      </c>
    </row>
    <row r="22" spans="1:7" x14ac:dyDescent="0.45">
      <c r="G22" s="1">
        <f>AVERAGE(G2:G20)</f>
        <v>1.3304093567251464E-2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039a2f-fef8-4bff-8f5d-198071ecfc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66612E62FCF429DF0AF40BCE2AC6F" ma:contentTypeVersion="15" ma:contentTypeDescription="Create a new document." ma:contentTypeScope="" ma:versionID="2652ef6063166b04993ef9ba4ef650e1">
  <xsd:schema xmlns:xsd="http://www.w3.org/2001/XMLSchema" xmlns:xs="http://www.w3.org/2001/XMLSchema" xmlns:p="http://schemas.microsoft.com/office/2006/metadata/properties" xmlns:ns3="7d039a2f-fef8-4bff-8f5d-198071ecfce7" xmlns:ns4="47b6ce06-3d13-49dc-a051-609640706adc" targetNamespace="http://schemas.microsoft.com/office/2006/metadata/properties" ma:root="true" ma:fieldsID="cf0f59b193c37ed3ca8ca972d4da06be" ns3:_="" ns4:_="">
    <xsd:import namespace="7d039a2f-fef8-4bff-8f5d-198071ecfce7"/>
    <xsd:import namespace="47b6ce06-3d13-49dc-a051-609640706ad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39a2f-fef8-4bff-8f5d-198071ecfce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6ce06-3d13-49dc-a051-60964070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6DB6CB-5677-4770-BE10-69733B505408}">
  <ds:schemaRefs>
    <ds:schemaRef ds:uri="http://schemas.openxmlformats.org/package/2006/metadata/core-properties"/>
    <ds:schemaRef ds:uri="http://schemas.microsoft.com/office/2006/documentManagement/types"/>
    <ds:schemaRef ds:uri="7d039a2f-fef8-4bff-8f5d-198071ecfce7"/>
    <ds:schemaRef ds:uri="http://www.w3.org/XML/1998/namespace"/>
    <ds:schemaRef ds:uri="http://schemas.microsoft.com/office/infopath/2007/PartnerControls"/>
    <ds:schemaRef ds:uri="http://purl.org/dc/elements/1.1/"/>
    <ds:schemaRef ds:uri="47b6ce06-3d13-49dc-a051-609640706adc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19361ED-0F2E-4D4F-8F39-271BB8E1A4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819C9D-DEC4-4C09-850D-E2C2F5BB1C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039a2f-fef8-4bff-8f5d-198071ecfce7"/>
    <ds:schemaRef ds:uri="47b6ce06-3d13-49dc-a051-609640706a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 Case </vt:lpstr>
      <vt:lpstr>Data</vt:lpstr>
      <vt:lpstr>Celine</vt:lpstr>
      <vt:lpstr>Tao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Peter-Paul Gumpal</dc:creator>
  <cp:lastModifiedBy>Pete Gumpal</cp:lastModifiedBy>
  <dcterms:created xsi:type="dcterms:W3CDTF">2024-04-16T17:18:34Z</dcterms:created>
  <dcterms:modified xsi:type="dcterms:W3CDTF">2024-04-17T17:55:13Z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0x01010048566612E62FCF429DF0AF40BCE2AC6F</vt:lpwstr>
  </property>
</Properties>
</file>